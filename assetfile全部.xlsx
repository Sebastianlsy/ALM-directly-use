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core.xml" ContentType="application/vnd.openxmlformats-package.core-properties+xml"/>
  <Override PartName="/xl/threadedComments/threadedComment2.xml" ContentType="application/vnd.ms-excel.threadedcomments+xml"/>
  <Override PartName="/xl/externalLinks/externalLink18.xml" ContentType="application/vnd.openxmlformats-officedocument.spreadsheetml.externalLink+xml"/>
  <Override PartName="/docProps/app.xml" ContentType="application/vnd.openxmlformats-officedocument.extended-properties+xml"/>
  <Override PartName="/xl/externalLinks/externalLink12.xml" ContentType="application/vnd.openxmlformats-officedocument.spreadsheetml.externalLink+xml"/>
  <Override PartName="/xl/worksheets/sheet2.xml" ContentType="application/vnd.openxmlformats-officedocument.spreadsheetml.worksheet+xml"/>
  <Override PartName="/xl/styles.xml" ContentType="application/vnd.openxmlformats-officedocument.spreadsheetml.styles+xml"/>
  <Override PartName="/xl/externalLinks/externalLink10.xml" ContentType="application/vnd.openxmlformats-officedocument.spreadsheetml.externalLink+xml"/>
  <Override PartName="/xl/externalLinks/externalLink9.xml" ContentType="application/vnd.openxmlformats-officedocument.spreadsheetml.externalLink+xml"/>
  <Override PartName="/xl/externalLinks/externalLink13.xml" ContentType="application/vnd.openxmlformats-officedocument.spreadsheetml.externalLink+xml"/>
  <Override PartName="/xl/externalLinks/externalLink8.xml" ContentType="application/vnd.openxmlformats-officedocument.spreadsheetml.externalLink+xml"/>
  <Override PartName="/xl/externalLinks/externalLink7.xml" ContentType="application/vnd.openxmlformats-officedocument.spreadsheetml.externalLink+xml"/>
  <Override PartName="/xl/comments1.xml" ContentType="application/vnd.openxmlformats-officedocument.spreadsheetml.comments+xml"/>
  <Override PartName="/xl/externalLinks/externalLink6.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worksheets/sheet1.xml" ContentType="application/vnd.openxmlformats-officedocument.spreadsheetml.worksheet+xml"/>
  <Override PartName="/xl/comments2.xml" ContentType="application/vnd.openxmlformats-officedocument.spreadsheetml.comments+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xml" ContentType="application/vnd.openxmlformats-officedocument.spreadsheetml.externalLink+xml"/>
  <Override PartName="/xl/externalLinks/externalLink17.xml" ContentType="application/vnd.openxmlformats-officedocument.spreadsheetml.externalLink+xml"/>
  <Override PartName="/xl/externalLinks/externalLink4.xml" ContentType="application/vnd.openxmlformats-officedocument.spreadsheetml.externalLink+xml"/>
  <Override PartName="/xl/worksheets/sheet5.xml" ContentType="application/vnd.openxmlformats-officedocument.spreadsheetml.worksheet+xml"/>
  <Override PartName="/xl/theme/theme1.xml" ContentType="application/vnd.openxmlformats-officedocument.theme+xml"/>
  <Override PartName="/xl/externalLinks/externalLink16.xml" ContentType="application/vnd.openxmlformats-officedocument.spreadsheetml.externalLink+xml"/>
  <Override PartName="/xl/worksheets/sheet3.xml" ContentType="application/vnd.openxmlformats-officedocument.spreadsheetml.worksheet+xml"/>
  <Override PartName="/xl/externalLinks/externalLink5.xml" ContentType="application/vnd.openxmlformats-officedocument.spreadsheetml.externalLink+xml"/>
  <Override PartName="/xl/workbook.xml" ContentType="application/vnd.openxmlformats-officedocument.spreadsheetml.sheet.main+xml"/>
  <Override PartName="/xl/worksheets/sheet4.xml" ContentType="application/vnd.openxmlformats-officedocument.spreadsheetml.worksheet+xml"/>
  <Override PartName="/xl/persons/person.xml" ContentType="application/vnd.ms-excel.person+xml"/>
  <Override PartName="/xl/externalLinks/externalLink3.xml" ContentType="application/vnd.openxmlformats-officedocument.spreadsheetml.externalLink+xml"/>
  <Override PartName="/xl/threadedComments/threadedComment1.xml" ContentType="application/vnd.ms-excel.threadedcomments+xml"/>
  <Override PartName="/xl/externalLinks/externalLink11.xml" ContentType="application/vnd.openxmlformats-officedocument.spreadsheetml.externalLink+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codeName="ThisWorkbook"/>
  <x15ac:absPath url="C:\Users\qingshan\Desktop\demo数据2024\demo24\"/>
  <bookViews>
    <workbookView activeTab="0"/>
  </bookViews>
  <sheets>
    <sheet name="资产明细" sheetId="1" r:id="rId4"/>
    <sheet name="配置调整" sheetId="2" r:id="rId5"/>
    <sheet name="Sheet1" sheetId="3" r:id="rId6"/>
    <sheet name="字段解释" sheetId="4" r:id="rId7"/>
    <sheet name="List" sheetId="5"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0" hidden="1">资产明细!$B$2:$BN$80</definedName>
    <definedName name="是否经营农险">[12]封面!$B$25</definedName>
    <definedName name="类型">OFFSET([18]字段!$L$11,,,COUNTA([18]字段!$L$1:$L$65536),)</definedName>
    <definedName name="开户行">OFFSET([18]字段!$M$11,,,COUNTA([18]字段!$M$1:$M$65536),)</definedName>
    <definedName name="关于">#REF!</definedName>
    <definedName name="古2">#REF!</definedName>
    <definedName name="公司类型">[12]封面!$B$4</definedName>
    <definedName name="公司类别">[12]封面!#REF!</definedName>
    <definedName name="部门">OFFSET([18]字段!$C$11,,,COUNTA([18]字段!$C$1:$C$65536),)</definedName>
    <definedName name="Year_1MC">[3]偿付能力计算!#REF!</definedName>
    <definedName name="Total_Pay">#REF!</definedName>
    <definedName name="Total_asset_PV">#REF!</definedName>
    <definedName name="TorF">[5]目录!$B$123:$B$164,[5]目录!$D$123:$D$164</definedName>
    <definedName name="TAX">[1]Inputs!$D$220</definedName>
    <definedName name="SURR_NP_TBL">[1]CSV!$V$1:$W$5</definedName>
    <definedName name="SURR_MORT_LOAD_TBL">[1]Mortality_Assump!$A$46:$IV$47</definedName>
    <definedName name="SURR_MORT">[1]Inputs!$D$193</definedName>
    <definedName name="Total_Payment">Scheduled_Payment+Extra_Payment</definedName>
    <definedName name="SURR_INT_MTH">[1]Inputs!$E$197</definedName>
    <definedName name="SURR_CIRCSA_LOAD_TBL">[1]RES_SURR_BASIS!#REF!</definedName>
    <definedName name="SURR_CIRCAP_TBL">[1]Inputs!$C$202:$E$206</definedName>
    <definedName name="SURR_CIRCAP_LOAD_TBL">[1]RES_SURR_BASIS!$A$37:$IV$41</definedName>
    <definedName name="SURR_CIRC_TBL">[1]Inputs!$C$202:$D$206</definedName>
    <definedName name="SURR_CIRC_LOAD_TBL">[1]RES_SURR_BASIS!$A$31:$IV$35</definedName>
    <definedName name="ST_DATE">[1]Results!#REF!</definedName>
    <definedName name="SOLVE">#REF!</definedName>
    <definedName name="SM_TBL">#REF!</definedName>
    <definedName name="SM_RES">[1]Inputs!$D$228</definedName>
    <definedName name="SURR_NP_MTD">[1]Inputs!$D$195</definedName>
    <definedName name="SM_COL">#REF!</definedName>
    <definedName name="责任人">OFFSET([18]字段!$F$11,,,COUNTA([18]字段!$F$1:$F$65536),)</definedName>
    <definedName name="SCN_NO">[1]Inputs!$D$62</definedName>
    <definedName name="Scheduled_Monthly_Payment">#REF!</definedName>
    <definedName name="Scheduled_Interest_Rate">#REF!</definedName>
    <definedName name="SALES_SORT">'[2]Dashboard data'!$B$70:$D$99</definedName>
    <definedName name="SALES_FCST_ROWS">'[2]Sales Fcst'!$A$20:$IV$34,'[2]Sales Fcst'!$A$54:$IV$68,'[2]Sales Fcst'!$A$87:$IV$101</definedName>
    <definedName name="SA">[1]Inputs!$D$18</definedName>
    <definedName name="RES_TERM">[1]Inputs!$D$168</definedName>
    <definedName name="RES_SURR_TBL">[1]RES_SURR_BASIS!$A$2:$IV$65536</definedName>
    <definedName name="RES_MORT_LOAD_TBL">[1]Mortality_Assump!$A$40:$IV$41</definedName>
    <definedName name="RES_MORT_LOAD_DPER">[1]Inputs!$D$188</definedName>
    <definedName name="RES_MTD_ADJ">[1]Inputs!$D$166</definedName>
    <definedName name="RES_INT_MTH">[1]Inputs!$E$167</definedName>
    <definedName name="RES_CIRC_LOAD_TBL">[1]RES_SURR_BASIS!$A$14:$IV$18</definedName>
    <definedName name="Reg_Curve_Low">[3]曲线输入!$AH$2</definedName>
    <definedName name="RE_PREM">[1]Inputs!$E$69</definedName>
    <definedName name="RDR_ANN">[1]Inputs!$D$221</definedName>
    <definedName name="支票号">OFFSET([18]支票领购与使用输入!$J$11,,,COUNTA([18]支票领购与使用输入!$J$1:$J$65536),)</definedName>
    <definedName name="PY_SALES">'[2]P&amp;L (PY Act)'!$B$5:$T$35</definedName>
    <definedName name="PREM_SA">#REF!</definedName>
    <definedName name="unit">#REF!</definedName>
    <definedName name="PREM_RDR_MTH">#REF!</definedName>
    <definedName name="PREM_RDR_DMTH">#REF!</definedName>
    <definedName name="PREM_RDR">#REF!</definedName>
    <definedName name="PREM_PTERM">#REF!</definedName>
    <definedName name="PREM_PREM_F">#REF!</definedName>
    <definedName name="PREM_POL_TERM">#REF!</definedName>
    <definedName name="PREM_TERM">[1]Inputs!$D$21</definedName>
    <definedName name="PREM_MULT_TIME">#REF!</definedName>
    <definedName name="PREM_MULT_NAME">#REF!</definedName>
    <definedName name="PREM_MULT_INDEX">#REF!</definedName>
    <definedName name="PREM_MORT_LOAD">#REF!</definedName>
    <definedName name="PREM_LOAD">[1]Inputs!$C$99:$D$106</definedName>
    <definedName name="PREM_JL">#REF!</definedName>
    <definedName name="Prem_freq">[1]Inputs!$D$23</definedName>
    <definedName name="PREM_EXP_DBEN">#REF!</definedName>
    <definedName name="PREM_DUM">#REF!</definedName>
    <definedName name="PREM_DB_STRUC">#REF!</definedName>
    <definedName name="PREM_CALC">#REF!</definedName>
    <definedName name="PREM_ASS_TBL">#REF!</definedName>
    <definedName name="PREM_ANNG">#REF!</definedName>
    <definedName name="PREM_ANN_TIME">#REF!</definedName>
    <definedName name="Reg_Stress_Header">'[9]Stress Scenario Input'!$C$67:$G$67</definedName>
    <definedName name="PREM_ACC_ROP_TBL">[1]OTHER_BEN!$A$13:$IV$15</definedName>
    <definedName name="POL_TERM">[1]Inputs!$D$20</definedName>
    <definedName name="Planning2Total">'[8]Expenditures Over Time'!$D$27</definedName>
    <definedName name="PLAN_SALES">'[2]P&amp;L (CY Plan)'!$B$5:$T$35</definedName>
    <definedName name="PLAN_EXPENSE">'[2]P&amp;L (CY Plan)'!$B$73:$T$103</definedName>
    <definedName name="PLAN_COST">'[2]P&amp;L (CY Plan)'!$B$39:$T$69</definedName>
    <definedName name="PERIOD_COMPARE_COLUMN">[2]RANGES!$I$5</definedName>
    <definedName name="PERIOD">[2]RANGES!$D$5:$D$21</definedName>
    <definedName name="Pay_Date">#REF!</definedName>
    <definedName name="PASTE_ST">#REF!</definedName>
    <definedName name="part_surr_pc">[1]Inputs!$D$214</definedName>
    <definedName name="PA_RATE_MTH">[1]Inputs!$E$126</definedName>
    <definedName name="RES_MORT_LOAD_TBL_F">[1]Mortality_Assump!$A$43:$IV$44</definedName>
    <definedName name="PA_RATE">[1]Inputs!$D$126</definedName>
    <definedName name="OR18_X3.5_提交年度合规报告">'[12]Database-下拉框'!$B$326:$B$327</definedName>
    <definedName name="OR18_X3.4_开展合规培训">'[12]Database-下拉框'!$B$324:$B$325</definedName>
    <definedName name="OR18_X3.3_落实合规政策的文件">'[12]Database-下拉框'!$B$322:$B$323</definedName>
    <definedName name="OR18_X1.2_非保险类行政处罚">'[12]Database-下拉框'!$B$316:$B$317</definedName>
    <definedName name="OR18_X1.1.1.4_管理人员受处罚情况">'[12]Database-下拉框'!$B$311:$B$313</definedName>
    <definedName name="OR18_D5_特殊评价">'[12]Database-分值计算'!$B$910:$C$912</definedName>
    <definedName name="OR18_D3.5_提交年度合规报告">'[12]Database-分值计算'!$B$908:$C$909</definedName>
    <definedName name="OR18_D3.4_开展合规培训">'[12]Database-分值计算'!$B$906:$C$907</definedName>
    <definedName name="OR18_D3.3_落实合规政策的文件">'[12]Database-分值计算'!$B$904:$C$905</definedName>
    <definedName name="OR18_D2.2_受严重处罚分支机构占比_公司类型">'[12]Database-分值计算'!$B$885:$C$887</definedName>
    <definedName name="OR18_D2.2.2_寿险业受严重处罚分支机构占比">'[12]Database-分值计算'!$B$892:$C$895</definedName>
    <definedName name="PREM_RATE">[1]Results!#REF!</definedName>
    <definedName name="OR18_D2.1.1_产险业每家分支机构受罚款金额">'[12]Database-分值计算'!$B$873:$C$876</definedName>
    <definedName name="OR18_D1.2_非保险类行政处罚">'[12]Database-分值计算'!$B$868:$C$869</definedName>
    <definedName name="OR18_D1.1.1.4_管理人员受处罚情况">'[12]Database-分值计算'!$B$863:$C$865</definedName>
    <definedName name="OR18_D1.1.1.3_罚款和没收违法所得累计金额">'[12]Database-分值计算'!$B$859:$C$862</definedName>
    <definedName name="OR17_D3.8_问责通报完成率">'[12]Database-分值计算'!$B$855:$C$858</definedName>
    <definedName name="OR17_D3.7_问责完成率">'[12]Database-分值计算'!$B$849:$C$852</definedName>
    <definedName name="OR17_D3.6_重大案件调查完成率情况">'[12]Database-分值计算'!$B$841:$C$842</definedName>
    <definedName name="OR17_D3.5_案件报送差错率">'[12]Database-分值计算'!$B$836:$C$840</definedName>
    <definedName name="OR17_D3.4_案件报送不及时率">'[12]Database-分值计算'!$B$831:$C$835</definedName>
    <definedName name="OR17_D3.3_案发机构占比">'[12]Database-分值计算'!$B$826:$C$830</definedName>
    <definedName name="OR17_D3.2_案件增长率">'[12]Database-分值计算'!$B$821:$C$825</definedName>
    <definedName name="OR15_D1.3_总精算师变换情况">'[12]Database-分值计算'!$B$526:$C$529</definedName>
    <definedName name="PROD">[1]Inputs!$D$5</definedName>
    <definedName name="OR15_D1.2_总精算师在公司连续工作年限">'[12]Database-分值计算'!$B$521:$C$525</definedName>
    <definedName name="OR14_X2.8.4_有效留存或备份">'[12]Database-下拉框'!$B$159:$B$160</definedName>
    <definedName name="OR14_X2.8.3_有效复核">'[12]Database-下拉框'!$B$157:$B$158</definedName>
    <definedName name="OR14_X2.8.2_编制频率">'[12]Database-下拉框'!$B$155:$B$156</definedName>
    <definedName name="PREM_PROD">#REF!</definedName>
    <definedName name="OR14_X2.7_准备金管理制度">'[12]Database-下拉框'!$B$161:$B$163</definedName>
    <definedName name="OR14_X2.4_准备金核算完整性和及时性">'[12]Database-下拉框'!$B$149:$B$150</definedName>
    <definedName name="OR14_X2.3_分保未决赔款准备金管理">'[12]Database-下拉框'!$B$147:$B$148</definedName>
    <definedName name="OR14_X2.2_已发生未报案未决赔款准备金评估">'[12]Database-下拉框'!$B$144:$B$146</definedName>
    <definedName name="TARGET">#REF!</definedName>
    <definedName name="OR14_D4.2_未决赔款准备金回溯偏差率">'[12]Database-分值计算'!$B$511:$C$513</definedName>
    <definedName name="OR14_D2.8.4_有效留存或备份得分">'[12]Database-分值计算'!$B$506:$C$507</definedName>
    <definedName name="ROP_PER">[1]Inputs!$D$27</definedName>
    <definedName name="OR14_D2.8.2_编制频率得分">'[12]Database-分值计算'!$B$502:$C$503</definedName>
    <definedName name="OR14_D2.8.1_底稿完善性得分">'[12]Database-分值计算'!$B$500:$C$501</definedName>
    <definedName name="OR14_D2.6_再保后未决赔款准备金回溯偏差率得分_I类公司">'[12]Database-分值计算'!$B$491:$C$493</definedName>
    <definedName name="OR14_D2.6_再保后未决赔款准备金回溯偏差率得分_II类公司">'[12]Database-分值计算'!$B$494:$C$496</definedName>
    <definedName name="OR14_D2.3_分保未决赔款准备金管理">'[12]Database-分值计算'!$B$483:$C$484</definedName>
    <definedName name="OR14_D2.1_未到期责任准备金评估">'[12]Database-分值计算'!$B$477:$C$479</definedName>
    <definedName name="OR13_X2.3.1_费用预算执行情况">'[12]Database-下拉框'!$B$307:$B$308</definedName>
    <definedName name="OR13_X2.2.1_银行账户管理集中度">'[12]Database-下拉框'!$B$305:$B$306</definedName>
    <definedName name="OR13_X1.4.2_业绩考核">'[12]Database-下拉框'!$B$303:$B$304</definedName>
    <definedName name="OR13_X1.4.1_管理方式">'[12]Database-下拉框'!$B$301:$B$302</definedName>
    <definedName name="OR13_D5_亿元保费财务操作风险事件数">'[12]Database-分值计算'!$B$812:$C$815</definedName>
    <definedName name="OR13_D3.2_系统对接">'[12]Database-分值计算'!$B$810:$C$811</definedName>
    <definedName name="OR13_D2.5_税收操作风险事件">'[12]Database-分值计算'!$B$807:$C$809</definedName>
    <definedName name="OR13_D2.3.1_费用预算执行情况">'[12]Database-分值计算'!$B$800:$C$801</definedName>
    <definedName name="OR13_D2.2.2_非现金收款比率">'[12]Database-分值计算'!$B$791:$C$793</definedName>
    <definedName name="OR13_D2.2.1_银行账户集中管理">'[12]Database-分值计算'!$B$789:$C$790</definedName>
    <definedName name="OR13_D2.1.1.2_财务报告出现重大错报或漏报">'[12]Database-分值计算'!$B$787:$C$788</definedName>
    <definedName name="OR13_D1.4.2_业绩考核">'[12]Database-分值计算'!$B$782:$C$783</definedName>
    <definedName name="PREM_ROP">#REF!</definedName>
    <definedName name="OR13_D1.4.1_管理方式">'[12]Database-分值计算'!$B$780:$C$781</definedName>
    <definedName name="OR13_D1.3_员工培训人次">'[12]Database-分值计算'!$B$778:$C$779</definedName>
    <definedName name="OR13_D1.2.2_会计证持证率">'[12]Database-分值计算'!$B$776:$C$777</definedName>
    <definedName name="RES_SURR_COL">[1]RES_SURR_BASIS!$A$1:$IV$1</definedName>
    <definedName name="OR13_D1.2.1_财会人员流失率">'[12]Database-分值计算'!$B$774:$C$775</definedName>
    <definedName name="OR13_D1.1_领导能力">'[12]Database-分值计算'!$B$772:$C$773</definedName>
    <definedName name="OR12_X3.3_系统管理集中度">'[12]Database-下拉框'!$B$292:$B$293</definedName>
    <definedName name="OR12_X3.1_系统自动化">'[12]Database-下拉框'!$B$290:$B$291</definedName>
    <definedName name="OR12_X2.6.1_单证管理">'[12]Database-下拉框'!$B$283:$B$284</definedName>
    <definedName name="OR12_X2.5.2_银行账户集中管理">'[12]Database-下拉框'!$B$281:$B$282</definedName>
    <definedName name="OR12_X2.5.1_收支两条线">'[12]Database-下拉框'!$B$279:$B$280</definedName>
    <definedName name="OR12_X2.2.1_核算集中度">'[12]Database-下拉框'!$B$275:$B$276</definedName>
    <definedName name="OR12_X2.1_操作风险数据库">'[12]Database-下拉框'!$B$273:$B$274</definedName>
    <definedName name="OR12_X1.4_业绩考核">'[12]Database-下拉框'!$B$271:$B$272</definedName>
    <definedName name="OR12_X1.1_财会部门主要负责人专业性">'[12]Database-下拉框'!$B$268:$B$270</definedName>
    <definedName name="OR12_D4.2_新政策培训">'[12]Database-分值计算'!$B$770:$C$771</definedName>
    <definedName name="OR12_D4.1_对新政策的参与和反应">'[12]Database-分值计算'!$B$768:$C$769</definedName>
    <definedName name="RES_MORT">[1]Inputs!$D$162</definedName>
    <definedName name="OR12_D3.4.2_数据差错率">'[12]Database-分值计算'!$B$766:$C$767</definedName>
    <definedName name="OR12_D3.4.1_数据核对频率">'[12]Database-分值计算'!$B$763:$C$765</definedName>
    <definedName name="OR12_D3.3_系统管理集中度">'[12]Database-分值计算'!$B$761:$C$762</definedName>
    <definedName name="OR12_D3.1_系统自动化">'[12]Database-分值计算'!$B$756:$C$757</definedName>
    <definedName name="SURR_MORT_LOAD_DPER">[1]Inputs!$D$212</definedName>
    <definedName name="OR12_D2.8.1_税收管理_II类公司">'[12]Database-分值计算'!$B$750:$C$752</definedName>
    <definedName name="OR12_D2.6.2_空白单证缺失率">'[12]Database-分值计算'!$B$738:$C$739</definedName>
    <definedName name="OR12_D2.6.1_单证管理">'[12]Database-分值计算'!$B$736:$C$737</definedName>
    <definedName name="OR12_D2.5.3_资金管理操作风险事件">'[12]Database-分值计算'!$B$733:$C$735</definedName>
    <definedName name="PREM_SMK">#REF!</definedName>
    <definedName name="OR12_D2.5.1_收支两条线">'[12]Database-分值计算'!$B$729:$C$730</definedName>
    <definedName name="OR12_D2.2.3_委托投资资产数据核对">'[12]Database-分值计算'!$B$717:$C$718</definedName>
    <definedName name="OR12_D2.2.2_会计差错量">'[12]Database-分值计算'!$B$715:$C$716</definedName>
    <definedName name="OR12_D1.4_业绩考核">'[12]Database-分值计算'!$B$709:$C$710</definedName>
    <definedName name="OR12_D1.3_员工培训率">'[12]Database-分值计算'!$B$707:$C$708</definedName>
    <definedName name="OR12_D1.2.2_财会部门人员流失率">'[12]Database-分值计算'!$B$705:$C$706</definedName>
    <definedName name="OR12_D1.2.1.1_财会部门人数_是_II类公司">'[12]Database-分值计算'!$B$701:$C$702</definedName>
    <definedName name="OR13_X3.2_系统对接">'[12]Database-下拉框'!$B$309:$B$310</definedName>
    <definedName name="OR10_X4.2_新政策培训">'[12]Database-下拉框'!$B$266:$B$267</definedName>
    <definedName name="OR10_X3.1.1.1_自行投资系统自动化">'[12]Database-下拉框'!$B$257:$B$260</definedName>
    <definedName name="OR10_X2.7.2.2_委托投资清算和交易信息核对频率">'[12]Database-下拉框'!$B$254:$B$256</definedName>
    <definedName name="OR10_X2.7.1.1_自行投资会计估值政策与制度规范">'[12]Database-下拉框'!$B$245:$B$247</definedName>
    <definedName name="OR10_X2.6.2.2_委托投资交易记录">'[12]Database-下拉框'!$B$242:$B$244</definedName>
    <definedName name="OR10_X2.6.1.2_委托投资集中交易">'[12]Database-下拉框'!$B$236:$B$238</definedName>
    <definedName name="OR12_D2.8.2_税收操作风险事件">'[12]Database-分值计算'!$B$753:$C$755</definedName>
    <definedName name="OR10_X2.6.1.1_自行投资集中交易">'[12]Database-下拉框'!$B$233:$B$235</definedName>
    <definedName name="OR10_X2.5.3.2_委托投资投资池、备选池和禁投池体系">'[12]Database-下拉框'!$B$230:$B$232</definedName>
    <definedName name="OR10_X2.5.3.1_自行投资投资池、备选池和禁投池体系">'[12]Database-下拉框'!$B$227:$B$229</definedName>
    <definedName name="OR10_X2.5.2.2.2_委托投资决策书面记录">'[12]Database-下拉框'!$B$224:$B$226</definedName>
    <definedName name="OR10_X2.5.2.1.1_自行投资决策流程信息化和自动化">'[12]Database-下拉框'!$B$215:$B$217</definedName>
    <definedName name="OR10_X2.4_托管">'[12]Database-下拉框'!$B$210:$B$212</definedName>
    <definedName name="OR10_X2.3.2.2_委托投资分账户">'[12]Database-下拉框'!$B$207:$B$209</definedName>
    <definedName name="PREM_DMORT">#REF!</definedName>
    <definedName name="OR10_X2.2.3_定期评估">'[12]Database-下拉框'!$B$198:$B$201</definedName>
    <definedName name="OR10_X2.2.1_委托投资管理制度">'[12]Database-下拉框'!$B$192:$B$194</definedName>
    <definedName name="PREM_TERMV">#REF!</definedName>
    <definedName name="OR10_X2.7.1.2_委托投资会计估值政策与制度规范">'[12]Database-下拉框'!$B$248:$B$250</definedName>
    <definedName name="OR10_X2.1_操作风险数据库">'[12]Database-下拉框'!$B$190:$B$191</definedName>
    <definedName name="OR18_D2.1.3_再保险公司每家分支机构受罚款金额">'[12]Database-分值计算'!$B$881:$C$884</definedName>
    <definedName name="OR10_X1.4.3.1_自行投资业绩考核">'[12]Database-下拉框'!$B$184:$B$186</definedName>
    <definedName name="OR10_X1.4.2.2_委托投资风险管理人员激励机制">'[12]Database-下拉框'!$B$181:$B$183</definedName>
    <definedName name="OR10_X1.4.2.1_自行投资风险管理人员激励机制">'[12]Database-下拉框'!$B$178:$B$180</definedName>
    <definedName name="OR10_X1.4.1.2_委托投资投研人员激励机制">'[12]Database-下拉框'!$B$175:$B$177</definedName>
    <definedName name="OR10_X1.4.1.1_自行投资投研人员激励机制">'[12]Database-下拉框'!$B$172:$B$174</definedName>
    <definedName name="OR10_X1.2.1.2_自行投资人员岗位">'[12]Database-下拉框'!$B$169:$B$171</definedName>
    <definedName name="OR10_X1.2.1.1_委托投资人员岗位">'[12]Database-下拉框'!$B$166:$B$168</definedName>
    <definedName name="OR10_D6.3_估值核算操作风险事件">'[12]Database-分值计算'!$B$684:$C$686</definedName>
    <definedName name="OR10_D6.1_投资决策操作风险事件">'[12]Database-分值计算'!$B$678:$C$680</definedName>
    <definedName name="OR10_D4.1_对新政策的参与和反应速度">'[12]Database-分值计算'!$B$674:$C$675</definedName>
    <definedName name="OR10_D3.4_数据差错量">'[12]Database-分值计算'!$B$672:$C$673</definedName>
    <definedName name="OR10_D3.3_信息安全事件数量">'[12]Database-分值计算'!$B$669:$C$671</definedName>
    <definedName name="OR12_D2.3.2_偿付能力报告出现重大错报或漏报">'[12]Database-分值计算'!$B$722:$C$723</definedName>
    <definedName name="OR10_D3.2.1_系统中断次数">'[12]Database-分值计算'!$B$665:$C$666</definedName>
    <definedName name="OR10_D3.1.2_系统设计差错量">'[12]Database-分值计算'!$B$663:$C$664</definedName>
    <definedName name="OR10_D3.1.1.2_委托投资系统自动化">'[12]Database-分值计算'!$B$660:$C$662</definedName>
    <definedName name="OR10_D2.7.3_估值核算操作风险事件">'[12]Database-分值计算'!$B$650:$C$652</definedName>
    <definedName name="OR10_D2.7.2.2_委托投资清算和交易信息核对频率">'[12]Database-分值计算'!$B$647:$C$649</definedName>
    <definedName name="OR10_D2.7.2.1_自行投资清算和交易信息核对频率">'[12]Database-分值计算'!$B$644:$C$646</definedName>
    <definedName name="TestTotal">'[8]Expenditures Over Time'!$D$43</definedName>
    <definedName name="OR10_D2.7.1.1_自行投资会计估值政策与制度规范">'[12]Database-分值计算'!$B$638:$C$640</definedName>
    <definedName name="SA_MULT_COL">[1]SA_MULT!$A$1:$IV$1</definedName>
    <definedName name="OR10_D2.6.3_交易行为操作风险">'[12]Database-分值计算'!$B$635:$C$637</definedName>
    <definedName name="OR10_D2.6.2.2_委托投资交易记录">'[12]Database-分值计算'!$B$632:$C$634</definedName>
    <definedName name="OR10_D2.6.1.2_委托投资集中交易">'[12]Database-分值计算'!$B$626:$C$628</definedName>
    <definedName name="OR10_D2.5.3.2_委托投资投资池、备选池和禁投池体系">'[12]Database-分值计算'!$B$617:$C$619</definedName>
    <definedName name="PREM_MORT_LOAD_TBL">#REF!</definedName>
    <definedName name="OR10_D2.5.3.1_自行投资投资池、备选池和禁投池体系">'[12]Database-分值计算'!$B$614:$C$616</definedName>
    <definedName name="OR10_D2.5.2.2.1_自行投资决策书面记录">'[12]Database-分值计算'!$B$608:$C$610</definedName>
    <definedName name="OR10_D2.5.1_投资授权制度">'[12]Database-分值计算'!$B$600:$C$601</definedName>
    <definedName name="OR10_D2.4_托管">'[12]Database-分值计算'!$B$597:$C$599</definedName>
    <definedName name="OR10_D2.3.2.2_委托投资分账户">'[12]Database-分值计算'!$B$594:$C$596</definedName>
    <definedName name="OR10_D2.3.2.1_自行投资分账户">'[12]Database-分值计算'!$B$591:$C$593</definedName>
    <definedName name="OR10_D2.3.1_压力测试">'[12]Database-分值计算'!$B$589:$C$590</definedName>
    <definedName name="OR10_D2.2.3_定期评估">'[12]Database-分值计算'!$B$585:$C$588</definedName>
    <definedName name="OR10_D2.2.2_委托投资指引">'[12]Database-分值计算'!$B$582:$C$584</definedName>
    <definedName name="OR10_D2.2.1_委托投资管理制度">'[12]Database-分值计算'!$B$579:$C$581</definedName>
    <definedName name="OR10_D2.1_操作风险数据库">'[12]Database-分值计算'!$B$577:$C$578</definedName>
    <definedName name="OR10_D1.4.3.2_委托投资业绩考核">'[12]Database-分值计算'!$B$574:$C$576</definedName>
    <definedName name="OR10_D1.4.3.1_自行投资业绩考核">'[12]Database-分值计算'!$B$571:$C$573</definedName>
    <definedName name="OR10_D1.4.2.2_委托投资风险管理人员激励机制">'[12]Database-分值计算'!$B$568:$C$570</definedName>
    <definedName name="OR10_D1.4.1.2_委托投资投研人员激励机制">'[12]Database-分值计算'!$B$562:$C$564</definedName>
    <definedName name="OR10_D1.4.1.1_自行投资投研人员激励机制">'[12]Database-分值计算'!$B$559:$C$561</definedName>
    <definedName name="OR10_D1.2.3_资产管理部门人员流失率">'[12]Database-分值计算'!$B$550:$C$552</definedName>
    <definedName name="OR10_D1.2.1.2_自行投资人员岗位">'[12]Database-分值计算'!$B$545:$C$547</definedName>
    <definedName name="OR10_D1.2.1.1_委托投资人员岗位">'[12]Database-分值计算'!$B$542:$C$544</definedName>
    <definedName name="PREM_ANND">#REF!</definedName>
    <definedName name="M_RES_T1_L5AMT">'[15]保费、准备金风险因子'!$J$16</definedName>
    <definedName name="OR18_D3.2_合规管理政策">'[12]Database-分值计算'!$B$902:$C$903</definedName>
    <definedName name="M_RES_T1_L2AMT">'[15]保费、准备金风险因子'!$D$16</definedName>
    <definedName name="Total_Interest">#REF!</definedName>
    <definedName name="OR15_D1.4_再保险管理人员的工作经验">'[12]Database-分值计算'!$B$530:$C$533</definedName>
    <definedName name="OR03_X2.2.1_核保权限集中度得分">'[12]Database-下拉框'!$B$69:$B$71</definedName>
    <definedName name="M_REIS_5">#REF!</definedName>
    <definedName name="M_REIS_2">#REF!</definedName>
    <definedName name="Beg_Bal">#REF!</definedName>
    <definedName name="PREM_EXP_TBL">#REF!</definedName>
    <definedName name="M_PRE_T4_L3RF">'[15]保费、准备金风险因子'!$G$8</definedName>
    <definedName name="SURR_NP_MTD2">[1]Inputs!$D$196</definedName>
    <definedName name="ANN_TIME">[1]Inputs!$D$56</definedName>
    <definedName name="M_RAT3">'[15]利率风险-利率类金融衍生品-国债期货（符合条件套保）'!$R$11</definedName>
    <definedName name="M_RAT2_A">'[15]利率风险-利率类金融衍生品-国债期货（符合条件套保）'!$R$9</definedName>
    <definedName name="OR02_D1.5_销售人员学历水平">'[12]Database-分值计算'!$B$96:$C$99</definedName>
    <definedName name="OR08_D3.2_反欺诈识别">'[12]Database-分值计算'!$B$421:$C$422</definedName>
    <definedName name="M_PRET4K1_4">'[15]保费、准备金风险因子'!$C$40</definedName>
    <definedName name="M_PRET4K1_2">'[15]保费、准备金风险因子'!$C$38</definedName>
    <definedName name="M_PRET3K1_4">'[15]保费、准备金风险因子'!$C$36</definedName>
    <definedName name="OR02_D3.3.2_系统逻辑准确性功能得分">'[12]Database-分值计算'!$B$123:$C$125</definedName>
    <definedName name="OR14_D2.2_已发生未报案未决赔款准备金评估">'[12]Database-分值计算'!$B$480:$C$482</definedName>
    <definedName name="M_PRET3K1_2">'[15]保费、准备金风险因子'!$C$34</definedName>
    <definedName name="M_PRE_T6_L5AMT">'[15]保费、准备金风险因子'!$J$10</definedName>
    <definedName name="M_PRET2K1_3">'[15]保费、准备金风险因子'!$C$31</definedName>
    <definedName name="OR10_X4.1_对新政策的参与和反应速度">'[12]Database-下拉框'!$B$264:$B$265</definedName>
    <definedName name="DET_ST">#REF!</definedName>
    <definedName name="OR12_D2.8.1_税收管理">'[12]Database-分值计算'!$B$745:$C$746</definedName>
    <definedName name="OR08_D2.2_理赔服务时效得分">'[12]Database-分值计算'!$B$412:$C$415</definedName>
    <definedName name="OR12_D1.1_财会部门主要负责人专业性">'[12]Database-分值计算'!$B$690:$C$692</definedName>
    <definedName name="OR01_X2.2.1.1_对需审批的保险条款和费率执行情况">'[12]Database-下拉框'!$B$13:$B$14</definedName>
    <definedName name="M_PRET1K2_2">'[15]保费、准备金风险因子'!$E$26</definedName>
    <definedName name="M_PRE_T7_L1RF">'[15]保费、准备金风险因子'!$C$11</definedName>
    <definedName name="M_PRET1K2_1">'[15]保费、准备金风险因子'!$E$25</definedName>
    <definedName name="MORT_LOAD_TBL_F">[1]Mortality_Assump!$A$37:$IV$38</definedName>
    <definedName name="OR01_D2.5.5_提供虚假产品信息情况">'[12]Database-分值计算'!$B$52:$C$53</definedName>
    <definedName name="M_PRERES">#REF!</definedName>
    <definedName name="M_RES_T7_L3RF">'[15]保费、准备金风险因子'!$G$22</definedName>
    <definedName name="M_PRET2K1_2">'[15]保费、准备金风险因子'!$C$30</definedName>
    <definedName name="OR10_D2.8_信息披露风险事件">'[12]Database-分值计算'!$B$653:$C$655</definedName>
    <definedName name="M_MKT_EQ_3.4.2">#REF!</definedName>
    <definedName name="OR12_X2.7.1_印章管理">'[12]Database-下拉框'!$B$285:$B$286</definedName>
    <definedName name="MORT_LOAD_SCN">[1]Inputs!$D$155</definedName>
    <definedName name="OR05_D5.2_行业内控水平调整得分">'[12]Database-分值计算'!$B$276:$C$278</definedName>
    <definedName name="M_PRE_T7_L4AMT">'[15]保费、准备金风险因子'!$H$11</definedName>
    <definedName name="M_PRE_T7_L3RF">'[15]保费、准备金风险因子'!$G$11</definedName>
    <definedName name="Payment_Date">DATE(YEAR(Loan_Start),MONTH(Loan_Start)+Payment_Number,DAY(Loan_Start))</definedName>
    <definedName name="M_PRE_T7_L2AMT">'[15]保费、准备金风险因子'!$D$11</definedName>
    <definedName name="M_PRE_T6_L1RF">'[15]保费、准备金风险因子'!$C$10</definedName>
    <definedName name="M_PRE_T6_L2AMT">'[15]保费、准备金风险因子'!$D$10</definedName>
    <definedName name="M_PRET3K1_1">'[15]保费、准备金风险因子'!$C$33</definedName>
    <definedName name="M_PRE_T5_L5AMT">'[15]保费、准备金风险因子'!$J$9</definedName>
    <definedName name="OR08_X3.3_系统对接">'[12]Database-下拉框'!$B$112:$B$113</definedName>
    <definedName name="M_PRE_T5_L4AMT">'[15]保费、准备金风险因子'!$H$9</definedName>
    <definedName name="M_PRE_T6_L4RF">'[15]保费、准备金风险因子'!$I$10</definedName>
    <definedName name="M_PRE_T5_L3AMT">'[15]保费、准备金风险因子'!$F$9</definedName>
    <definedName name="OR10_D1.3.2_员工培训频率">'[12]Database-分值计算'!$B$557:$C$558</definedName>
    <definedName name="M_PRE_T2">'[15]（保险公司）非寿险业务保险风险-保费和准备金风险'!$F$6</definedName>
    <definedName name="M_PRE_T5_L1RF">'[15]保费、准备金风险因子'!$C$9</definedName>
    <definedName name="M_MKT_EQ_10.1">#REF!</definedName>
    <definedName name="OR01_X3.1.1.3_承保业务系统与再保、财务系统对接情况">'[12]Database-下拉框'!$B$44:$B$45</definedName>
    <definedName name="OR04_D1.4_业绩管理、薪酬得分">'[12]Database-分值计算'!$B$194:$C$195</definedName>
    <definedName name="OR18_D1.1.2既往行政处罚">'[12]Database-分值计算'!$B$866:$C$867</definedName>
    <definedName name="M_MKT_EQ_6.4">#REF!</definedName>
    <definedName name="OR14_D2.8.3_有效复核得分">'[12]Database-分值计算'!$B$504:$C$505</definedName>
    <definedName name="M_PRE_T2_L3RF">'[15]保费、准备金风险因子'!$G$6</definedName>
    <definedName name="part_surr_tbl">[1]Inputs!#REF!</definedName>
    <definedName name="M_PRE_T4_L4RF">'[15]保费、准备金风险因子'!$I$8</definedName>
    <definedName name="OR14_X2.1_未到期责任准备金评估">'[12]Database-下拉框'!$B$141:$B$143</definedName>
    <definedName name="M_PRET1K1_1">'[15]保费、准备金风险因子'!$C$25</definedName>
    <definedName name="M_PRE_T3_L3AMT">'[15]保费、准备金风险因子'!$F$7</definedName>
    <definedName name="OR03_D2.2.2_承保标的风险评估得分">'[12]Database-分值计算'!$B$160:$C$161</definedName>
    <definedName name="M_PRE_T4_L4AMT">'[15]保费、准备金风险因子'!$H$8</definedName>
    <definedName name="M_PRE_T4_L2RF">'[15]保费、准备金风险因子'!$E$8</definedName>
    <definedName name="OR12_D1.2.1.1_财会部门人数_否_I类公司">'[12]Database-分值计算'!$B$699:$C$700</definedName>
    <definedName name="M_RES_T6_L4AMT">'[15]保费、准备金风险因子'!$H$21</definedName>
    <definedName name="M_PRE_T4_L2AMT">'[15]保费、准备金风险因子'!$D$8</definedName>
    <definedName name="OR07_D1.1_领导能力">'[12]Database-分值计算'!$B$360:$C$362</definedName>
    <definedName name="M_PRE_T4">'[15]（保险公司）非寿险业务保险风险-保费和准备金风险'!$F$8</definedName>
    <definedName name="M_PRE_T6_L4AMT">'[15]保费、准备金风险因子'!$H$10</definedName>
    <definedName name="M_RES_T3_L5RF">'[15]保费、准备金风险因子'!$K$18</definedName>
    <definedName name="M_PRE_T3_L5RF">'[15]保费、准备金风险因子'!$K$7</definedName>
    <definedName name="M_A01">[13]封面!$E$5</definedName>
    <definedName name="OR01_D2.2.1.1_对需审批的保险条款和费率执行情况">'[12]Database-分值计算'!$B$23:$C$24</definedName>
    <definedName name="M_PRE_T3_L4RF">'[15]保费、准备金风险因子'!$I$7</definedName>
    <definedName name="OR13_D2.2.4_非寿险业务非正常应收保费比例">'[12]Database-分值计算'!$B$797:$C$799</definedName>
    <definedName name="OR06_D2.4保全处理平均时长得分行业均值小于5">'[12]Database-分值计算'!$B$337:$C$340</definedName>
    <definedName name="OR01_D2.4.1_符合产品特点的应收保费管理细则制定情况">'[12]Database-分值计算'!$B$36:$C$37</definedName>
    <definedName name="OR09_D1.1_再保险业务管理情况">'[12]Database-分值计算'!$B$429:$C$431</definedName>
    <definedName name="M_PRE_T2_L6AMT">'[15]保费、准备金风险因子'!$L$6</definedName>
    <definedName name="OR14_X2.8.1_底稿完善性">'[12]Database-下拉框'!$B$153:$B$154</definedName>
    <definedName name="M_JPY_EX">#REF!</definedName>
    <definedName name="M_PRE_T2_L4RF">'[15]保费、准备金风险因子'!$I$6</definedName>
    <definedName name="M_RES_T1_L7AMT">'[15]保费、准备金风险因子'!$N$16</definedName>
    <definedName name="SURR_DMORT">[1]Inputs!$D$194</definedName>
    <definedName name="M_PRE_T2_L1RF">'[15]保费、准备金风险因子'!$C$6</definedName>
    <definedName name="OR17_D3.6_重大案件调查完成率">'[12]Database-分值计算'!$B$843:$C$846</definedName>
    <definedName name="M_PRE_T5_L5RF">'[15]保费、准备金风险因子'!$K$9</definedName>
    <definedName name="BCOMM_TBL">'[1]Basic Comm'!$A$2:$IV$65536</definedName>
    <definedName name="M_PRE_T1_L6RF">'[15]保费、准备金风险因子'!$M$5</definedName>
    <definedName name="M_PRE_T1_L6AMT">'[15]保费、准备金风险因子'!$L$5</definedName>
    <definedName name="M_REST1K1_3">'[15]保费、准备金风险因子'!$K$27</definedName>
    <definedName name="M_PRE_T2_L5RF">'[15]保费、准备金风险因子'!$K$6</definedName>
    <definedName name="M_MKT_EQ_10.7">'[14]市场风险-权益价格风险'!$K$45</definedName>
    <definedName name="OR01_D5.2_行业内控水平调整">'[12]Database-分值计算'!$B$74:$C$76</definedName>
    <definedName name="M_PRE_T1_L4AMT">'[15]保费、准备金风险因子'!$H$5</definedName>
    <definedName name="M_PRE_T1_L2AMT">'[15]保费、准备金风险因子'!$D$5</definedName>
    <definedName name="OR08_D5_基于行业总体水平的调整">'[12]Database-分值计算'!$B$425:$C$428</definedName>
    <definedName name="M_PRET1K1_3">'[15]保费、准备金风险因子'!$C$27</definedName>
    <definedName name="LAPSE_TBL">[1]Inputs!$C$139:$D$152</definedName>
    <definedName name="OR17_D3.1_百亿元保费案件数">'[12]Database-分值计算'!$B$816:$C$820</definedName>
    <definedName name="M_RES_T4_L4RF">'[15]保费、准备金风险因子'!$I$19</definedName>
    <definedName name="OR02_D3.2.2_意外险保单信息记录的完整性">'[12]Database-分值计算'!$B$118:$C$119</definedName>
    <definedName name="PlanningTotal">'[8]Expenditures Over Time'!$D$19</definedName>
    <definedName name="M_PRE_T1_L7AMT">'[15]保费、准备金风险因子'!$N$5</definedName>
    <definedName name="M_RAT1_A">'[15]利率风险-利率类金融衍生品-国债期货（符合条件套保）'!$R$7</definedName>
    <definedName name="M_OWER">#REF!</definedName>
    <definedName name="M_MKT_EQ_K1PRI">#REF!</definedName>
    <definedName name="OR06_D1.4_保全工作经验得分">'[12]Database-分值计算'!$B$301:$C$304</definedName>
    <definedName name="OR07_X3.3_系统对接">'[12]Database-下拉框'!$B$106:$B$107</definedName>
    <definedName name="M_MKT_EQ_9.1">#REF!</definedName>
    <definedName name="M_MKT_EQ_6.3">#REF!</definedName>
    <definedName name="M_RES_T1_L4RF">'[15]保费、准备金风险因子'!$I$16</definedName>
    <definedName name="OR01_D2.2.4_签单日期晚于起保日期的保费_当期总保费">'[12]Database-分值计算'!$B$29:$C$32</definedName>
    <definedName name="OR12_D2.8.1_税收管理_I类公司">'[12]Database-分值计算'!$B$747:$C$749</definedName>
    <definedName name="M_PRET2K1_4">'[15]保费、准备金风险因子'!$C$32</definedName>
    <definedName name="M_RES_T3_L3AMT">'[15]保费、准备金风险因子'!$F$18</definedName>
    <definedName name="M_RES_T5_L3RF">'[15]保费、准备金风险因子'!$G$20</definedName>
    <definedName name="M_MKT_EQ_6.1">#REF!</definedName>
    <definedName name="M_AR_8">#REF!</definedName>
    <definedName name="OR09_D2.8.2_完成内部审计">'[12]Database-分值计算'!$B$448:$C$449</definedName>
    <definedName name="M_MKT_EQ_8">#REF!</definedName>
    <definedName name="M_MKT_EQ_4">#REF!</definedName>
    <definedName name="M_REIS_1">#REF!</definedName>
    <definedName name="NET_PREM_EXP_TBL">#REF!</definedName>
    <definedName name="OR10_X2.6.2.1_自行投资交易记录">'[12]Database-下拉框'!$B$239:$B$241</definedName>
    <definedName name="M_MKT_EQ_3.4.4_K1">#REF!</definedName>
    <definedName name="OR18_D2.2.1_产险业受严重处罚分支机构占比">'[12]Database-分值计算'!$B$888:$C$891</definedName>
    <definedName name="OR10_X2.5.2.1.2_委托投资决策流程信息化和自动化">'[12]Database-下拉框'!$B$218:$B$220</definedName>
    <definedName name="M_MKT_EQ_3.1.2">#REF!</definedName>
    <definedName name="M_MKT_EQ_3.4.3">#REF!</definedName>
    <definedName name="PREM_ASS_COL">#REF!</definedName>
    <definedName name="OR01_D2.2.1.3_经保监会批准或备案的保险条款和费率的执行情况">'[12]Database-分值计算'!$B$27:$C$28</definedName>
    <definedName name="PERIOD_COMPARE">[2]RANGES!$I$6</definedName>
    <definedName name="OR18_X3.2_合规管理政策">'[12]Database-下拉框'!$B$320:$B$321</definedName>
    <definedName name="M_PRE_T2_L5AMT">'[15]保费、准备金风险因子'!$J$6</definedName>
    <definedName name="CD_PAY">[1]Inputs!$D$115</definedName>
    <definedName name="OR04_D2.3.2_保全变更完成率得分">'[12]Database-分值计算'!$B$215:$C$217</definedName>
    <definedName name="M_MKT_EQ_3.2.3">#REF!</definedName>
    <definedName name="LR01_D1.1.3.1_在压力情景下未来预计净现金流_财产险和再保险公司">'[12]Database-分值计算'!$B$925:$C$926</definedName>
    <definedName name="OR01_D5.3_行业系统水平调整">'[12]Database-分值计算'!$B$77:$C$79</definedName>
    <definedName name="OR02_D1.3_核保人员人均核保保单数量">'[12]Database-分值计算'!$B$88:$C$91</definedName>
    <definedName name="OR14_D1_II类公司">'[12]Database-分值计算'!$B$474:$C$476</definedName>
    <definedName name="M_MKT_EQ_7">#REF!</definedName>
    <definedName name="M_MKT_EQ_3.2.2">#REF!</definedName>
    <definedName name="M_PRE_T7_L1AMT">'[15]保费、准备金风险因子'!$B$11</definedName>
    <definedName name="M_PRE_T4_L3AMT">'[15]保费、准备金风险因子'!$F$8</definedName>
    <definedName name="INT">[1]Inputs!$D$219</definedName>
    <definedName name="OR10_X2.5.2.2.1_自行投资决策书面记录">'[12]Database-下拉框'!$B$221:$B$223</definedName>
    <definedName name="M_REST4K1_3">'[15]保费、准备金风险因子'!$K$36</definedName>
    <definedName name="Header_Row">ROW(#REF!)</definedName>
    <definedName name="M_PRET4K">'[15]保费、准备金风险因子'!$E$52</definedName>
    <definedName name="MAT_MULT_DET">#REF!</definedName>
    <definedName name="M_CP">#REF!</definedName>
    <definedName name="Last_Row">#N/A</definedName>
    <definedName name="PY">[2]RANGES!$H$6</definedName>
    <definedName name="M_CURRENCY">#REF!</definedName>
    <definedName name="EXP_FUND_PER">[1]Inputs!$D$74</definedName>
    <definedName name="\IM3">#REF!</definedName>
    <definedName name="M_COSTRAT_T4">'[15]（保险公司）非寿险业务保险风险-保费和准备金风险'!$H$8</definedName>
    <definedName name="M_PRE_T7_L5AMT">'[15]保费、准备金风险因子'!$J$11</definedName>
    <definedName name="CY_EXPENSE">'[2]P&amp;L (CY Act)'!$B$73:$T$103</definedName>
    <definedName name="M_RESRAT_T3">'[15]（保险公司）非寿险业务保险风险-保费和准备金风险'!$J$7</definedName>
    <definedName name="OR06_D2.1_索赔核定平均时长行业均值小于8">'[12]Database-分值计算'!$B$310:$C$313</definedName>
    <definedName name="M_RES_T1_L3RF">'[15]保费、准备金风险因子'!$G$16</definedName>
    <definedName name="M_PRE_T1_L7RF">'[15]保费、准备金风险因子'!$O$5</definedName>
    <definedName name="Nominal_Curve">[3]曲线输入!$C$24</definedName>
    <definedName name="MULT_TBL">[1]Multipliers!$A$5:$IV$65536</definedName>
    <definedName name="OR04_D2.1.2_销售人员协议签订率得分">'[12]Database-分值计算'!$B$198:$C$199</definedName>
    <definedName name="SCN_DES_ST">[1]Results!$F$5</definedName>
    <definedName name="LR01_D1.3_流动性覆盖率">'[12]Database-分值计算'!$B$935:$C$939</definedName>
    <definedName name="Govt_Stress">'[9]Stress Scenario Input'!$C$6:$G$24</definedName>
    <definedName name="M_MKT_EQ_10.4">'[14]市场风险-权益价格风险'!$K$42</definedName>
    <definedName name="PREM_MULT_TBL">#REF!</definedName>
    <definedName name="HS">[11]资产明细!#REF!</definedName>
    <definedName name="part_surr_rate_tbl">#REF!</definedName>
    <definedName name="M_MKT_EQ_3.4">#REF!</definedName>
    <definedName name="M_MKT_EQ_5.1">#REF!</definedName>
    <definedName name="M_PRE_T1_L4RF">'[15]保费、准备金风险因子'!$I$5</definedName>
    <definedName name="M_MKT_EQ_3.1">#REF!</definedName>
    <definedName name="LAPSE_TIMING">[1]Inputs!#REF!</definedName>
    <definedName name="OR13_D2.4.2_单证回销率">'[12]Database-分值计算'!$B$804:$C$806</definedName>
    <definedName name="M_PRE_T3_L2RF">'[15]保费、准备金风险因子'!$E$7</definedName>
    <definedName name="EXP_LOAD">[1]Inputs!$D$77</definedName>
    <definedName name="LR01_D1.1.2.4_在基本情景下未来预计净现金流_人身险公司_报告日后第2年和第3年">'[12]Database-分值计算'!$B$923:$C$924</definedName>
    <definedName name="M_PRE_T1_L3RF">'[15]保费、准备金风险因子'!$G$5</definedName>
    <definedName name="DB_YEARS">[2]RANGES!$M$5:$M$6</definedName>
    <definedName name="YEARS">[2]RANGES!$A$5:$A$25</definedName>
    <definedName name="M_PRE_T1_L5AMT">'[15]保费、准备金风险因子'!$J$5</definedName>
    <definedName name="OR09_X2.3.2_需续保的再保合约业务完成情况">'[12]Database-下拉框'!$B$123:$B$124</definedName>
    <definedName name="M_PRE_T2_L6RF">'[15]保费、准备金风险因子'!$M$6</definedName>
    <definedName name="DB_STRUC">[1]Inputs!$D$46</definedName>
    <definedName name="DMORT">[1]Inputs!$D$122</definedName>
    <definedName name="OR10_D2.6.1.1_自行投资集中交易">'[12]Database-分值计算'!$B$623:$C$625</definedName>
    <definedName name="M_PRET3K1_3">'[15]保费、准备金风险因子'!$C$35</definedName>
    <definedName name="Data">#REF!</definedName>
    <definedName name="OR05_D2.5_已发生已报告未决赔款准备金发展偏差率_I类公司">'[12]Database-分值计算'!$B$251:$C$255</definedName>
    <definedName name="M_PRET3K">'[15]保费、准备金风险因子'!$E$51</definedName>
    <definedName name="DB_YEAR">[2]RANGES!$N$5</definedName>
    <definedName name="M_PRE_T7_L2RF">'[15]保费、准备金风险因子'!$E$11</definedName>
    <definedName name="M_PRE_T7_L3AMT">'[15]保费、准备金风险因子'!$F$11</definedName>
    <definedName name="OR14_D2.4_准备金核算完整性和及时性">'[12]Database-分值计算'!$B$485:$C$486</definedName>
    <definedName name="Full_Print">#REF!</definedName>
    <definedName name="M_MKT_EQ_3.4.2_K1">#REF!</definedName>
    <definedName name="OR01_D3.2.1_关键承保信息质量及一致性情况">'[12]Database-分值计算'!$B$63:$C$65</definedName>
    <definedName name="EXP_PANN">[1]Inputs!$D$72</definedName>
    <definedName name="M_RES_T6">#REF!</definedName>
    <definedName name="M_REST6K">'[15]保费、准备金风险因子'!$E$64</definedName>
    <definedName name="OR18_D2.2.3_再保险公司受严重处罚分支机构占比">'[12]Database-分值计算'!$B$896:$C$899</definedName>
    <definedName name="M_PRE_T5_L4RF">'[15]保费、准备金风险因子'!$I$9</definedName>
    <definedName name="M_REIS_8">#REF!</definedName>
    <definedName name="Loan_Start">#REF!</definedName>
    <definedName name="LAPSE">[1]Inputs!#REF!</definedName>
    <definedName name="M_RES_T1_L1AMT">'[15]保费、准备金风险因子'!$B$16</definedName>
    <definedName name="M_PRE_T5_L2AMT">'[15]保费、准备金风险因子'!$D$9</definedName>
    <definedName name="OR01_D2.5.3_夸大保险产品保障情况">'[12]Database-分值计算'!$B$48:$C$49</definedName>
    <definedName name="Reg_Curve">[3]曲线输入!$M$2</definedName>
    <definedName name="ADD_CRD">[1]Inputs!$C$34:$D$44</definedName>
    <definedName name="RES_CIRCAP_TBL">[1]Inputs!$C$178:$E$182</definedName>
    <definedName name="Discount_base_curve_MC">[3]负债输入!$H$4</definedName>
    <definedName name="M_GUARANTEE">#REF!</definedName>
    <definedName name="M_PRE_T2_L2AMT">'[15]保费、准备金风险因子'!$D$6</definedName>
    <definedName name="OR07_D2.2_报案立案率">'[12]Database-分值计算'!$B$373:$C$374</definedName>
    <definedName name="M_PRE_T1_L1RF">'[15]保费、准备金风险因子'!$C$5</definedName>
    <definedName name="M_MKT_EQ_10.11">'[16]市场风险-权益价格风险'!$M$49</definedName>
    <definedName name="M_MKT_EQ_3.3">#REF!</definedName>
    <definedName name="OR09_D3.1_再保系统与其他系统链接">'[12]Database-分值计算'!$B$450:$C$451</definedName>
    <definedName name="M_PRE_T6_L1AMT">'[15]保费、准备金风险因子'!$B$10</definedName>
    <definedName name="OR03_D2.1.2_销售人员协议签订率得分">'[12]Database-分值计算'!$B$152:$C$153</definedName>
    <definedName name="M_RES_T4_L3RF">'[15]保费、准备金风险因子'!$G$19</definedName>
    <definedName name="M_PRE_T3_L1AMT">'[15]保费、准备金风险因子'!$B$7</definedName>
    <definedName name="LR01_D1.1.2.1_在基本情景下未来预计净现金流_财产险和再保险公司">'[12]Database-分值计算'!$B$919:$C$920</definedName>
    <definedName name="IE_PREM">[1]Inputs!$E$68</definedName>
    <definedName name="Reg_Stress">'[9]Stress Scenario Input'!$C$68:$G$117</definedName>
    <definedName name="M_PRESTK_LL">'[14]市场风险-利率风险'!$I$18</definedName>
    <definedName name="COST_SORT">'[2]Dashboard data'!$F$70:$H$99</definedName>
    <definedName name="OR03_X2.3.3_批减资金支付方式">'[12]Database-下拉框'!$B$76:$B$77</definedName>
    <definedName name="Corr">[3]偿付能力计算!$R$12:$U$15</definedName>
    <definedName name="COMPANY_NAME">#REF!</definedName>
    <definedName name="M_PRE_T5_L3RF">'[15]保费、准备金风险因子'!$G$9</definedName>
    <definedName name="BDTF">[5]目录!$B$123:$B$164,[5]目录!$D$123:$D$164,[5]目录!$B$121,[5]目录!$B$122,[5]目录!$D$121,[5]目录!$D$122</definedName>
    <definedName name="ANN_DEF_PER">[1]Inputs!$D$55</definedName>
    <definedName name="M_MKT_EQ_10.6">'[14]市场风险-权益价格风险'!$K$44</definedName>
    <definedName name="OR03_D5_亿元保费销售、承保、保全操作风险事件数">'[12]Database-分值计算'!$B$178:$C$181</definedName>
    <definedName name="M_COSTCHG_T1">'[15]（保险公司）非寿险业务保险风险-保费和准备金风险'!$I$5</definedName>
    <definedName name="IE_PP">[1]Inputs!$D$68</definedName>
    <definedName name="M_FARATE">#REF!</definedName>
    <definedName name="M_RES_T1">'[15]（保险公司）非寿险业务保险风险-保费和准备金风险'!$G$5</definedName>
    <definedName name="工作表名">#REF!</definedName>
    <definedName name="ANN_CHRG">[1]Inputs!$D$89</definedName>
    <definedName name="MULT_INDEX">[1]Multipliers!$B$2:$IV$4</definedName>
    <definedName name="OR06_D1.3_理赔工作经验得分">'[12]Database-分值计算'!$B$297:$C$300</definedName>
    <definedName name="PLAN_PROFIT">'[2]P&amp;L (CY Plan)'!$B$106:$T$106</definedName>
    <definedName name="LAPSE_ASS_TBL">[1]Lapse!$A$2:$IV$65536</definedName>
    <definedName name="AP_LOAD_DEDUCT">[1]Expenses!$A$21:$IV$28</definedName>
    <definedName name="M_AR_3">#REF!</definedName>
    <definedName name="M_RES_T1_L5RF">'[15]保费、准备金风险因子'!$K$16</definedName>
    <definedName name="OR02_D2.5_电话营销销售误导问题">'[12]Database-分值计算'!$B$110:$C$113</definedName>
    <definedName name="M_RAT2_B">'[15]利率风险-利率类金融衍生品-国债期货（符合条件套保）'!$R$10</definedName>
    <definedName name="OR01_D1.2.1_核保授权管理建设情况">'[12]Database-分值计算'!$B$8:$C$10</definedName>
    <definedName name="M_PRE_T2_L1AMT">'[15]保费、准备金风险因子'!$B$6</definedName>
    <definedName name="M_FUND_AFT">#REF!</definedName>
    <definedName name="M_PRE_T1">'[15]（保险公司）非寿险业务保险风险-保费和准备金风险'!$F$5</definedName>
    <definedName name="M_REIS_3">#REF!</definedName>
    <definedName name="M_YEARGRD">#REF!</definedName>
    <definedName name="OR12_D1.2.1.1_财会部门人数_是_I类公司">'[12]Database-分值计算'!$B$697:$C$698</definedName>
    <definedName name="End_Bal">#REF!</definedName>
    <definedName name="OR05_X1_不相容职务分离">'[12]Database-下拉框'!$B$88:$B$90</definedName>
    <definedName name="OR06_D4.1_监管部门接到的关于理赔、保全业务线的投诉得分">'[12]Database-分值计算'!$B$350:$C$354</definedName>
    <definedName name="M_PRE_T5">'[15]（保险公司）非寿险业务保险风险-保费和准备金风险'!$F$12</definedName>
    <definedName name="Sched_Pay">#REF!</definedName>
    <definedName name="M_CAD_EX">#REF!</definedName>
    <definedName name="M_RES_T6_L1RF">'[15]保费、准备金风险因子'!$C$21</definedName>
    <definedName name="boolean">'[7]Database-下拉框'!$B$2:$B$3</definedName>
    <definedName name="OR01_X3.1.1.1_业务信息系统管理完整性">'[12]Database-下拉框'!$B$40:$B$41</definedName>
    <definedName name="M_REQ">#REF!</definedName>
    <definedName name="EXP_PP">[1]Inputs!$D$71</definedName>
    <definedName name="ANN_ANN">[1]Inputs!$D$52</definedName>
    <definedName name="M_PRE_T4_L5RF">'[15]保费、准备金风险因子'!$K$8</definedName>
    <definedName name="ANN_FREQ">[1]Inputs!$D$53</definedName>
    <definedName name="M_REIS_4">#REF!</definedName>
    <definedName name="OR03_X3.2_佣金系统计提">'[12]Database-下拉框'!$B$78:$B$79</definedName>
    <definedName name="M_PRE_T2_L4AMT">'[15]保费、准备金风险因子'!$H$6</definedName>
    <definedName name="EXP_FUND">[1]Inputs!$D$73</definedName>
    <definedName name="M_RES_T2_L5RF">'[15]保费、准备金风险因子'!$K$17</definedName>
    <definedName name="M_RES_T1_L4AMT">'[15]保费、准备金风险因子'!$H$16</definedName>
    <definedName name="M_MKT_EQ_5">#REF!</definedName>
    <definedName name="FY_SURR_NP">[1]CSV!$Z$1</definedName>
    <definedName name="M_PRE_T6_L3AMT">'[15]保费、准备金风险因子'!$F$10</definedName>
    <definedName name="M_REIS_K1_1">#REF!</definedName>
    <definedName name="ConstructionTotal">'[8]Expenditures Over Time'!$D$35</definedName>
    <definedName name="CD_ACC_RATE_MTH">[1]Inputs!$E$114</definedName>
    <definedName name="M_COMPANY">#REF!</definedName>
    <definedName name="OR02_D1.1_销售人员离职率">'[12]Database-分值计算'!$B$80:$C$83</definedName>
    <definedName name="M_RES_T6_L2AMT">'[15]保费、准备金风险因子'!$D$21</definedName>
    <definedName name="analysis_date">[3]资产信息输入模板!$C$2</definedName>
    <definedName name="OR09_X3.3_IT系统统计再保险数据报表">'[12]Database-下拉框'!$B$135:$B$136</definedName>
    <definedName name="CD_WD">[1]Inputs!$D$113</definedName>
    <definedName name="M_PRE_T5_L1AMT">'[15]保费、准备金风险因子'!$B$9</definedName>
    <definedName name="PREM_MP">#REF!</definedName>
    <definedName name="M_MKT_EQ_3.4.4">#REF!</definedName>
    <definedName name="PREM_SEX">#REF!</definedName>
    <definedName name="PREM_ENT_AGE">#REF!</definedName>
    <definedName name="ADD_CRD_EOY">[1]OTHER_BEN!$A$17:$IV$27</definedName>
    <definedName name="AGE">[1]Inputs!$D$14</definedName>
    <definedName name="EXP_TBL">[1]Expenses!$A$2:$IV$65536</definedName>
    <definedName name="haoma">INDIRECT("支票填写!$d$3:$d$"&amp;COUNTA([10]支票填写!$D$1:$D$65536)+1)</definedName>
    <definedName name="OR09_D3.4_再保险IT系统权限管理情况">'[12]Database-分值计算'!$B$456:$C$457</definedName>
    <definedName name="OR02_D3.2.1_与核心业务系统实时对接">'[12]Database-分值计算'!$B$116:$C$117</definedName>
    <definedName name="M_MKT_EQ_5.2">#REF!</definedName>
    <definedName name="OR12_D2.7.1_印章管理">'[12]Database-分值计算'!$B$740:$C$741</definedName>
    <definedName name="OR12_D2.4.1_财务报告差错量">'[12]Database-分值计算'!$B$724:$C$726</definedName>
    <definedName name="OCOMM_TBL">'[1]Override Comm'!$A$2:$IV$65536</definedName>
    <definedName name="OR07_D2.1_理赔权限管理">'[12]Database-分值计算'!$B$371:$C$372</definedName>
    <definedName name="M_GBP_EX">#REF!</definedName>
    <definedName name="M_MKT_EQ_3.1.1">#REF!</definedName>
    <definedName name="BCOMM_COL">'[1]Basic Comm'!$A$1:$IV$1</definedName>
    <definedName name="PREM_FREQ_ADJ">[1]Inputs!$D$24</definedName>
    <definedName name="OR03_D3.2_佣金系统计提得分">'[12]Database-分值计算'!$B$176:$C$177</definedName>
    <definedName name="EXP_COL">[1]Expenses!$A$1:$IV$1</definedName>
    <definedName name="M_PRET6K">'[15]保费、准备金风险因子'!$E$54</definedName>
    <definedName name="Sex">[1]Inputs!$D$13</definedName>
    <definedName name="M_PRE_T3_L2AMT">'[15]保费、准备金风险因子'!$D$7</definedName>
    <definedName name="OR06_D2.5投诉处理平均时长得分行业均值小于10">'[12]Database-分值计算'!$B$346:$C$349</definedName>
    <definedName name="Number_of_Payments">MATCH(0.01,End_Bal,-1)+1</definedName>
    <definedName name="M_PRET7K">'[15]保费、准备金风险因子'!$E$55</definedName>
    <definedName name="ANN_GUAR_PER">[1]Inputs!$D$54</definedName>
    <definedName name="RDR">[1]Inputs!$E$221</definedName>
    <definedName name="est">[1]Inputs!#REF!</definedName>
    <definedName name="EXPENSE_SORT">'[2]Dashboard data'!$J$70:$L$99</definedName>
    <definedName name="M_AR_4">#REF!</definedName>
    <definedName name="M_EX_K1_2">#REF!</definedName>
    <definedName name="ZILLMER">[1]Inputs!$D$169</definedName>
    <definedName name="CIRC_FPT_ADJ">[1]Reserve!$W$5</definedName>
    <definedName name="OR01_X2.5.1_利用广告后其他宣传方式对保险条款内容和服务质量等做引人误解的宣传情况">'[12]Database-下拉框'!$B$27:$B$28</definedName>
    <definedName name="M_MKT_EQ_3.2.1">#REF!</definedName>
    <definedName name="Govt_Curve">[3]曲线输入!$F$2</definedName>
    <definedName name="M_PRE_T5_L2RF">'[15]保费、准备金风险因子'!$E$9</definedName>
    <definedName name="CD_RATE">[1]Inputs!$D$112</definedName>
    <definedName name="OR18_D3.1_设置合规管理部门">'[12]Database-分值计算'!$B$900:$C$901</definedName>
    <definedName name="COMM_APPLY">[1]Inputs!#REF!</definedName>
    <definedName name="OR04_D2.3.4_保单失效率得分">'[12]Database-分值计算'!$B$221:$C$223</definedName>
    <definedName name="M_PRE_T6_L5RF">'[15]保费、准备金风险因子'!$K$10</definedName>
    <definedName name="PY_PROFIT">'[2]P&amp;L (PY Act)'!$B$106:$T$106</definedName>
    <definedName name="M_AR_12">'[14]信用风险-交易对手违约风险最低资本'!$Q$20</definedName>
    <definedName name="M_COMP_CODE">#REF!</definedName>
    <definedName name="SM_SAR">[1]Inputs!$D$229</definedName>
    <definedName name="OR12_D3.2_系统异常事件数量">'[12]Database-分值计算'!$B$758:$C$760</definedName>
    <definedName name="M_PRE_T7_L4RF">'[15]保费、准备金风险因子'!$I$11</definedName>
    <definedName name="OR14_X2.5_准备金总部是否有冗余">'[12]Database-下拉框'!$B$151:$B$152</definedName>
    <definedName name="M_MKT_EQ_3.1.3">#REF!</definedName>
    <definedName name="M_PRE_T1_L2RF">'[15]保费、准备金风险因子'!$E$5</definedName>
    <definedName name="LAPSE_LOAD_SCN">[1]Inputs!$D$157</definedName>
    <definedName name="Asset_CHRG">[1]Inputs!$D$91</definedName>
    <definedName name="M_PRE_T1_L5RF">'[15]保费、准备金风险因子'!$K$5</definedName>
    <definedName name="MP">[1]Inputs!$D$6</definedName>
    <definedName name="Loan_Years">#REF!</definedName>
    <definedName name="OR10_X1.1.2_资产管理部门负责人违法违规及处罚">'[12]Database-下拉框'!$B$164:$B$165</definedName>
    <definedName name="M_RES_T6_L4RF">'[15]保费、准备金风险因子'!$I$21</definedName>
    <definedName name="MORT_LOAD_SCN2">[1]Inputs!$D$156</definedName>
    <definedName name="NP_MTD">[1]Inputs!$D$164</definedName>
    <definedName name="OR15_D1.1_准备金评估工作人员的工作经验">'[12]Database-分值计算'!$B$517:$C$520</definedName>
    <definedName name="OR09_X2.5.1_再保险应收应付款项管理情况">'[12]Database-下拉框'!$B$125:$B$126</definedName>
    <definedName name="M_AREA">#REF!</definedName>
    <definedName name="PREM_ROP_PER">#REF!</definedName>
    <definedName name="LAPSE_TIME">[1]Inputs!$D$132</definedName>
    <definedName name="CIRC_SA_LOAD">[1]Inputs!$D$198</definedName>
    <definedName name="M_MKT_EQ_10.2">#REF!</definedName>
    <definedName name="M_REST5K">'[15]保费、准备金风险因子'!$E$63</definedName>
    <definedName name="M_PRET1K">'[15]保费、准备金风险因子'!$E$49</definedName>
    <definedName name="RE_PP">[1]Inputs!$D$69</definedName>
    <definedName name="NP_MTD2">[1]Inputs!$D$165</definedName>
    <definedName name="M_AR_11">'[14]信用风险-交易对手违约风险最低资本'!$Q$19</definedName>
    <definedName name="COMPANY">[2]RANGES!$E$5</definedName>
    <definedName name="DB_PERIOD">[2]RANGES!$L$5</definedName>
    <definedName name="PREM_FADJ">#REF!</definedName>
    <definedName name="ADMIN_CHRG">[1]Inputs!$D$92</definedName>
    <definedName name="M_PRE_T6_L2RF">'[15]保费、准备金风险因子'!$E$10</definedName>
    <definedName name="InstallTotal">'[8]Expenditures Over Time'!$D$11</definedName>
    <definedName name="top_up">[1]Inputs!$D$22</definedName>
    <definedName name="OR03_X2.2.2_承保标的风险评估">'[12]Database-下拉框'!$B$74:$B$75</definedName>
    <definedName name="OR08_D1.1_领导能力">'[12]Database-分值计算'!$B$398:$C$400</definedName>
    <definedName name="LR01_D1.1.1_报告期的实际净现金流">'[12]Database-分值计算'!$B$917:$C$918</definedName>
    <definedName name="BDTFA">[5]目录!$B$123:$B$164,[5]目录!$D$123:$D$164,[5]目录!$B$121,[5]目录!$B$122,[5]目录!$D$121,[5]目录!$D$122,[5]目录!$B$165:$B$180,[5]目录!$D$165:$D$180</definedName>
    <definedName name="INT_LOAD_SCN">[1]Inputs!$D$223</definedName>
    <definedName name="OR05_D2.5_已发生已报告未决赔款准备金发展偏差率得分">'[12]Database-分值计算'!$B$249:$C$250</definedName>
    <definedName name="M_PRET2K1_1">'[15]保费、准备金风险因子'!$C$29</definedName>
    <definedName name="M_FUND_PRI">#REF!</definedName>
    <definedName name="M_REIS_K1_2">#REF!</definedName>
    <definedName name="OR08_D2.4_非寿险业务估损代数偏差率">'[12]Database-分值计算'!$B$419:$C$420</definedName>
    <definedName name="Interest_Rate">#REF!</definedName>
    <definedName name="PREM_ANNF">#REF!</definedName>
    <definedName name="LAPSE_COL">[1]Lapse!$A$1:$IV$1</definedName>
    <definedName name="OR12_D2.3.1_偿付能力报告差错量">'[12]Database-分值计算'!$B$719:$C$721</definedName>
    <definedName name="M_PRE_T4_L5AMT">'[15]保费、准备金风险因子'!$J$8</definedName>
    <definedName name="NP_USE">[1]Reserve!$Z$2</definedName>
    <definedName name="M_REIS_7">#REF!</definedName>
    <definedName name="OR05_D2.7.1车险报案结案率得分">'[12]Database-分值计算'!$B$264:$C$266</definedName>
    <definedName name="M_PRE_T1_L1AMT">'[15]保费、准备金风险因子'!$B$5</definedName>
    <definedName name="M_PRE_T3_L1RF">'[15]保费、准备金风险因子'!$C$7</definedName>
    <definedName name="OR10_D2.7.1.2_委托投资会计估值政策与制度规范">'[12]Database-分值计算'!$B$641:$C$643</definedName>
    <definedName name="OR03_D1.2_招聘、解雇得分">'[12]Database-分值计算'!$B$142:$C$144</definedName>
    <definedName name="PREM_EXP_BEN">#REF!</definedName>
    <definedName name="comm">[1]Inputs!$C$81:$F$87</definedName>
    <definedName name="Values_Entered">IF(Loan_Amount*Interest_Rate*Loan_Years*Loan_Start&gt;0,1,0)</definedName>
    <definedName name="M_RES_T2_L4AMT">'[15]保费、准备金风险因子'!$H$17</definedName>
    <definedName name="OR06_D2.3保全受理平均时长得分">'[12]Database-分值计算'!$B$323:$C$324</definedName>
    <definedName name="M_PRE_T3_L5AMT">'[15]保费、准备金风险因子'!$J$7</definedName>
    <definedName name="PREM_ROP_RATE">#REF!</definedName>
    <definedName name="M_RES_T5_L5RF">'[15]保费、准备金风险因子'!$K$20</definedName>
    <definedName name="M_RES_T4_L2RF">'[15]保费、准备金风险因子'!$E$19</definedName>
    <definedName name="OR12_X2.2.3_委托投资资产数据核对">'[12]Database-下拉框'!$B$277:$B$278</definedName>
    <definedName name="M_RES_T5_L2RF">'[15]保费、准备金风险因子'!$E$20</definedName>
    <definedName name="LAPSE_RATE_COL">[1]Lapse_Rate!$A$1:$IV$1</definedName>
    <definedName name="OR10_D2.6.2.1_自行投资交易记录">'[12]Database-分值计算'!$B$629:$C$631</definedName>
    <definedName name="M_PRET4K1_3">'[15]保费、准备金风险因子'!$C$39</definedName>
    <definedName name="M_MKT_EQ_10.8">'[16]市场风险-权益价格风险'!$M$46</definedName>
    <definedName name="M_RAT1_B">'[15]利率风险-利率类金融衍生品-国债期货（符合条件套保）'!$R$8</definedName>
    <definedName name="OR03_D2.2.3_应收保费率得分">'[12]Database-分值计算'!$B$162:$C$164</definedName>
    <definedName name="SURR_MORT_LOAD_TBL_F">[1]Mortality_Assump!$A$49:$IV$50</definedName>
    <definedName name="M_REST2K1_1">'[15]保费、准备金风险因子'!$K$28</definedName>
    <definedName name="LR01_D1.1.2.3_在基本情景下未来预计净现金流_人身险公司_报告日后第1年">'[12]Database-分值计算'!$B$921:$C$922</definedName>
    <definedName name="CY_COST">'[2]P&amp;L (CY Act)'!$B$39:$T$69</definedName>
    <definedName name="M_REIS_6">#REF!</definedName>
    <definedName name="LR01_D1.2.2_综合流动比率_财产险和再保险公司">'[12]Database-分值计算'!$B$931:$C$932</definedName>
    <definedName name="M_PRE_T4_L1AMT">'[15]保费、准备金风险因子'!$B$8</definedName>
    <definedName name="M_MKT_EQ_9.2">#REF!</definedName>
    <definedName name="M_AR_1">#REF!</definedName>
    <definedName name="M_AR_5">#REF!</definedName>
    <definedName name="MONTHS">[2]RANGES!$B$5:$B$16</definedName>
    <definedName name="M_AR_6">#REF!</definedName>
    <definedName name="MORT_COL">[1]Mortality_Assump!$A$1:$IV$1</definedName>
    <definedName name="M_AR_7">#REF!</definedName>
    <definedName name="M_RES_T6_L3AMT">'[15]保费、准备金风险因子'!$F$21</definedName>
    <definedName name="M_PRET2K">'[15]保费、准备金风险因子'!$E$50</definedName>
    <definedName name="M_PRERES_CAT">#REF!</definedName>
    <definedName name="OR01_D2.1.3_手续费跟单率">'[12]Database-分值计算'!$B$19:$C$22</definedName>
    <definedName name="OR14_D4.3_准备金系统数据一致性">'[12]Database-分值计算'!$B$514:$C$516</definedName>
    <definedName name="M_AR_9">#REF!</definedName>
    <definedName name="M_RESRAT_T2">'[15]（保险公司）非寿险业务保险风险-保费和准备金风险'!$J$6</definedName>
    <definedName name="M_COSTRAT_T3">'[15]（保险公司）非寿险业务保险风险-保费和准备金风险'!$H$7</definedName>
    <definedName name="M_RES_T4_L4AMT">'[15]保费、准备金风险因子'!$H$19</definedName>
    <definedName name="OR14_D1_I类公司">'[12]Database-分值计算'!$B$471:$C$473</definedName>
    <definedName name="M_REST3K1_1">'[15]保费、准备金风险因子'!$K$31</definedName>
    <definedName name="LR01_D1.1.3.3_在压力情景下未来预计净现金流_人身险公司_报告日后第1年">'[12]Database-分值计算'!$B$927:$C$928</definedName>
    <definedName name="M_COST">#REF!</definedName>
    <definedName name="M_EUR_EX">#REF!</definedName>
    <definedName name="AP">[1]Inputs!$D$19</definedName>
    <definedName name="M_EX_RF0">#REF!</definedName>
    <definedName name="OR09_D2.2.1_再保险接受人及经纪人资信管理情况">'[12]Database-分值计算'!$B$434:$C$435</definedName>
    <definedName name="M_MKT_EQ_10">#REF!</definedName>
    <definedName name="DisCur1">[3]曲线输入!$C$2</definedName>
    <definedName name="M_EX_K1_3">#REF!</definedName>
    <definedName name="M_RES_T7_L1RF">'[15]保费、准备金风险因子'!$C$22</definedName>
    <definedName name="OR12_D2.1_操作风险数据库">'[12]Database-分值计算'!$B$711:$C$712</definedName>
    <definedName name="M_PRE_T3_L4AMT">'[15]保费、准备金风险因子'!$H$7</definedName>
    <definedName name="M_MKT_EQ_1">#REF!</definedName>
    <definedName name="M_HKD_EX">#REF!</definedName>
    <definedName name="M_PRE_T3">'[15]（保险公司）非寿险业务保险风险-保费和准备金风险'!$F$7</definedName>
    <definedName name="OR02_D4.1_监管部门接到的关于承保、销售业务线的投诉得分">'[12]Database-分值计算'!$B$126:$C$130</definedName>
    <definedName name="backingdata.creditspreads">[4]__backingdata__!$A$1:$A$223</definedName>
    <definedName name="SURR_MORT_LOAD">[1]Inputs!$C$209:$D$210</definedName>
    <definedName name="part_surr_rate_col">#REF!</definedName>
    <definedName name="OR04_D2.1.3_千张保单投诉量得分">'[12]Database-分值计算'!$B$200:$C$202</definedName>
    <definedName name="OR12_D2.4.2_财务报告出现重大错报或漏报">'[12]Database-分值计算'!$B$727:$C$728</definedName>
    <definedName name="M_RES_T1_L3AMT">'[15]保费、准备金风险因子'!$F$16</definedName>
    <definedName name="Extra_Pay">#REF!</definedName>
    <definedName name="M_USD_EX">#REF!</definedName>
    <definedName name="BDTF1">[6]目录!$B$25,[6]目录!$B$29:$B$32,[6]目录!$D$29:$D$31</definedName>
    <definedName name="M_MKT_EQ_10.12">'[16]市场风险-权益价格风险'!$M$50</definedName>
    <definedName name="M_PRE_T4_L1RF">'[15]保费、准备金风险因子'!$C$8</definedName>
    <definedName name="OR10_D4.2_新政策培训">'[12]Database-分值计算'!$B$676:$C$677</definedName>
    <definedName name="M_REST1K1_1">'[15]保费、准备金风险因子'!$K$25</definedName>
    <definedName name="OR05_X4_理赔反欺诈模块">'[12]Database-下拉框'!$B$93:$B$95</definedName>
    <definedName name="OR12_X4.1_对新政策的参与和反应">'[12]Database-下拉框'!$B$297:$B$298</definedName>
    <definedName name="M_COSTRAT_T2">'[15]（保险公司）非寿险业务保险风险-保费和准备金风险'!$H$6</definedName>
    <definedName name="Curve_750D_Low">[3]曲线输入!$AH$2</definedName>
    <definedName name="M_MKT_EQ_10.3">'[14]市场风险-权益价格风险'!$K$41</definedName>
    <definedName name="M_MKT_EQ_10.5">'[14]市场风险-权益价格风险'!$K$43</definedName>
    <definedName name="OR10_D2.5.4_投资决策操作风险">'[12]Database-分值计算'!$B$620:$C$622</definedName>
    <definedName name="M_RES_T1_L6AMT">'[15]保费、准备金风险因子'!$L$16</definedName>
    <definedName name="OR01_X2.4.4_总公司应收保费考核开展情况">'[12]Database-下拉框'!$B$25:$B$26</definedName>
    <definedName name="M_RES_T1_L6RF">'[15]保费、准备金风险因子'!$M$16</definedName>
    <definedName name="OR01_D2.1.2_中介代理协议签订合格率">'[12]Database-分值计算'!$B$15:$C$18</definedName>
    <definedName name="OR04_D1.1.1_管理层离职率得分">'[12]Database-分值计算'!$B$182:$C$184</definedName>
    <definedName name="PREM_MORT">#REF!</definedName>
    <definedName name="M_RES_T1_L7RF">'[15]保费、准备金风险因子'!$O$16</definedName>
    <definedName name="M_RES_T2">'[15]（保险公司）非寿险业务保险风险-保费和准备金风险'!$G$6</definedName>
    <definedName name="M_RES_T2_L1AMT">'[15]保费、准备金风险因子'!$B$17</definedName>
    <definedName name="PREM_MORT_LOAD_DPER">#REF!</definedName>
    <definedName name="M_RES_T2_L1RF">'[15]保费、准备金风险因子'!$C$17</definedName>
    <definedName name="M_RES_T2_L2AMT">'[15]保费、准备金风险因子'!$D$17</definedName>
    <definedName name="OR12_D2.5.2_银行账户集中管理">'[12]Database-分值计算'!$B$731:$C$732</definedName>
    <definedName name="M_RES_T3_L5AMT">'[15]保费、准备金风险因子'!$J$18</definedName>
    <definedName name="OR06_D2.5投诉处理平均时长得分">'[12]Database-分值计算'!$B$341:$C$342</definedName>
    <definedName name="HOME_SPACE">#REF!,#REF!,#REF!,#REF!,#REF!,#REF!,#REF!</definedName>
    <definedName name="M_RES_T2_L2RF">'[15]保费、准备金风险因子'!$E$17</definedName>
    <definedName name="OR14_D2.5_准备金总部是否有冗余">'[12]Database-分值计算'!$B$487:$C$488</definedName>
    <definedName name="M_RES_T2_L3AMT">'[15]保费、准备金风险因子'!$F$17</definedName>
    <definedName name="PA_ADD_BEN">[1]Inputs!$D$49</definedName>
    <definedName name="M_RES_T2_L3RF">'[15]保费、准备金风险因子'!$G$17</definedName>
    <definedName name="OR10_D3.2.2_系统异常事件数量">'[12]Database-分值计算'!$B$667:$C$668</definedName>
    <definedName name="M_RES_T2_L4RF">'[15]保费、准备金风险因子'!$I$17</definedName>
    <definedName name="M_RES_T5_L1AMT">'[15]保费、准备金风险因子'!$B$20</definedName>
    <definedName name="M_RES_T2_L6AMT">'[15]保费、准备金风险因子'!$L$17</definedName>
    <definedName name="M_RES_T7_L4RF">'[15]保费、准备金风险因子'!$I$22</definedName>
    <definedName name="M_RES_T2_L6RF">'[15]保费、准备金风险因子'!$M$17</definedName>
    <definedName name="OR10_D2.5.2.1.1_自行投资决策流程信息化和自动化">'[12]Database-分值计算'!$B$602:$C$604</definedName>
    <definedName name="M_EX_K1_1">#REF!</definedName>
    <definedName name="M_RES_T3_L1AMT">'[15]保费、准备金风险因子'!$B$18</definedName>
    <definedName name="OR03_D1.1.1_管理层离职率得分">'[12]Database-分值计算'!$B$136:$C$138</definedName>
    <definedName name="OR01_X3.1.2_销售管理系统建设情况">'[12]Database-下拉框'!$B$46:$B$48</definedName>
    <definedName name="M_RES_T3_L1RF">'[15]保费、准备金风险因子'!$C$18</definedName>
    <definedName name="M_RES_T3_L2AMT">'[15]保费、准备金风险因子'!$D$18</definedName>
    <definedName name="M_RES_T3_L2RF">'[15]保费、准备金风险因子'!$E$18</definedName>
    <definedName name="M_COSTRAT_T1">'[15]（保险公司）非寿险业务保险风险-保费和准备金风险'!$H$5</definedName>
    <definedName name="M_RES_T3_L3RF">'[15]保费、准备金风险因子'!$G$18</definedName>
    <definedName name="RES_CIRC_TBL">[1]Inputs!$C$178:$D$182</definedName>
    <definedName name="OR14_D2.7_准备金管理制度">'[12]Database-分值计算'!$B$497:$C$499</definedName>
    <definedName name="LAPSE_RATE_TBL">[1]Lapse_Rate!$A$2:$IV$65536</definedName>
    <definedName name="M_RES_T5_L2AMT">'[15]保费、准备金风险因子'!$D$20</definedName>
    <definedName name="M_RES_T3_L4AMT">'[15]保费、准备金风险因子'!$H$18</definedName>
    <definedName name="OR04_D1.3_培训得分">'[12]Database-分值计算'!$B$191:$C$193</definedName>
    <definedName name="M_RES_T3_L4RF">'[15]保费、准备金风险因子'!$I$18</definedName>
    <definedName name="M_RES_T4">'[15]（保险公司）非寿险业务保险风险-保费和准备金风险'!$G$8</definedName>
    <definedName name="M_RES_T6_L1AMT">'[15]保费、准备金风险因子'!$B$21</definedName>
    <definedName name="ROP">[1]Inputs!$D$26</definedName>
    <definedName name="OR09_X3.2_IT系统模块功能">'[12]Database-下拉框'!$B$133:$B$134</definedName>
    <definedName name="OR18_X3.1_设置合规管理部门">'[12]Database-下拉框'!$B$318:$B$319</definedName>
    <definedName name="M_RES_T4_L1AMT">'[15]保费、准备金风险因子'!$B$19</definedName>
    <definedName name="OR01_D1.1.2_核保人员管理情况">'[12]Database-分值计算'!$B$5:$C$7</definedName>
    <definedName name="M_RES_T4_L1RF">'[15]保费、准备金风险因子'!$C$19</definedName>
    <definedName name="M_RES_T4_L2AMT">'[15]保费、准备金风险因子'!$D$19</definedName>
    <definedName name="OR03_D1.1.2_部门管理层从业经验得分">'[12]Database-分值计算'!$B$139:$C$141</definedName>
    <definedName name="OR07_X2.1_理赔权限管理">'[12]Database-下拉框'!$B$102:$B$103</definedName>
    <definedName name="PASTE_COPY">#REF!</definedName>
    <definedName name="OR07_X3.2_反欺诈识别">'[12]Database-下拉框'!$B$104:$B$105</definedName>
    <definedName name="M_RES_T4_L5AMT">'[15]保费、准备金风险因子'!$J$19</definedName>
    <definedName name="M_MKT_EQ_K1AFT">#REF!</definedName>
    <definedName name="M_RES_T4_L5RF">'[15]保费、准备金风险因子'!$K$19</definedName>
    <definedName name="OR06_D1.2_理赔人员人均办理理赔案件数量得分">'[12]Database-分值计算'!$B$293:$C$296</definedName>
    <definedName name="M_RES_T5">'[15]（保险公司）非寿险业务保险风险-保费和准备金风险'!$G$12</definedName>
    <definedName name="M_RES_T5_L1RF">'[15]保费、准备金风险因子'!$C$20</definedName>
    <definedName name="PREM_MAT_MULT">#REF!</definedName>
    <definedName name="M_RES_T5_L3AMT">'[15]保费、准备金风险因子'!$F$20</definedName>
    <definedName name="M_PRET1K2_4">'[15]保费、准备金风险因子'!$E$28</definedName>
    <definedName name="FY_NP">[1]Reserve!$Z$1</definedName>
    <definedName name="M_GRADE">#REF!</definedName>
    <definedName name="OR04_D1.1.2_部门管理层从业经验得分">'[12]Database-分值计算'!$B$185:$C$187</definedName>
    <definedName name="M_RES_T5_L4AMT">'[15]保费、准备金风险因子'!$H$20</definedName>
    <definedName name="M_RES_T5_L4RF">'[15]保费、准备金风险因子'!$I$20</definedName>
    <definedName name="M_RES_T5_L5AMT">'[15]保费、准备金风险因子'!$J$20</definedName>
    <definedName name="OR07_D2.7_千张保单投诉量">'[12]Database-分值计算'!$B$387:$C$389</definedName>
    <definedName name="Scheduled_Extra_Payments">#REF!</definedName>
    <definedName name="M_RES_T6_L2RF">'[15]保费、准备金风险因子'!$E$21</definedName>
    <definedName name="OR01_D2.4.4_总公司应收保费考核开展情况">'[12]Database-分值计算'!$B$42:$C$43</definedName>
    <definedName name="OR03_X2.1.3_佣金支付方式得分">'[12]Database-下拉框'!$B$66:$B$68</definedName>
    <definedName name="M_RES_T1_L1RF">'[15]保费、准备金风险因子'!$C$16</definedName>
    <definedName name="M_RES_T6_L5AMT">'[15]保费、准备金风险因子'!$J$21</definedName>
    <definedName name="Pay_Num">#REF!</definedName>
    <definedName name="OR17_D3.8_问责通报完成率情况">'[12]Database-分值计算'!$B$853:$C$854</definedName>
    <definedName name="M_RES_T4_L3AMT">'[15]保费、准备金风险因子'!$F$19</definedName>
    <definedName name="M_RES_T6_L5RF">'[15]保费、准备金风险因子'!$K$21</definedName>
    <definedName name="OR10_D6.4_信息披露操作风险事件">'[12]Database-分值计算'!$B$687:$C$689</definedName>
    <definedName name="M_RES_T7">#REF!</definedName>
    <definedName name="PY_COST">'[2]P&amp;L (PY Act)'!$B$39:$T$69</definedName>
    <definedName name="OR13_D2.1.1.1_财务报告差错量">'[12]Database-分值计算'!$B$784:$C$786</definedName>
    <definedName name="M_RES_T7_L1AMT">'[15]保费、准备金风险因子'!$B$22</definedName>
    <definedName name="PREM_ANN">#REF!</definedName>
    <definedName name="M_RES_T7_L2AMT">'[15]保费、准备金风险因子'!$D$22</definedName>
    <definedName name="OR02_D1.6_销售人员责任追究">'[12]Database-分值计算'!$B$100:$C$103</definedName>
    <definedName name="OR10_X2.7.2.1_自行投资清算和交易信息核对频率">'[12]Database-下拉框'!$B$251:$B$253</definedName>
    <definedName name="OR09_D3.2_IT系统模块功能">'[12]Database-分值计算'!$B$452:$C$453</definedName>
    <definedName name="M_RES_T7_L2RF">'[15]保费、准备金风险因子'!$E$22</definedName>
    <definedName name="ROP_ACC_RATE_TBL">[1]Inputs!$C$29:$E$31</definedName>
    <definedName name="M_RES_T7_L3AMT">'[15]保费、准备金风险因子'!$F$22</definedName>
    <definedName name="M_RES_T7_L4AMT">'[15]保费、准备金风险因子'!$H$22</definedName>
    <definedName name="M_RES_T7_L5AMT">'[15]保费、准备金风险因子'!$J$22</definedName>
    <definedName name="PV_solvency">[9]Analysis!$E$9</definedName>
    <definedName name="M_RES_T7_L5RF">'[15]保费、准备金风险因子'!$K$22</definedName>
    <definedName name="OR10_X1.4.3.2_委托投资业绩考核">'[12]Database-下拉框'!$B$187:$B$189</definedName>
    <definedName name="M_RESRAT_T1">'[15]（保险公司）非寿险业务保险风险-保费和准备金风险'!$J$5</definedName>
    <definedName name="OR18_X5_特殊评价">'[12]Database-下拉框'!$B$328:$B$330</definedName>
    <definedName name="M_RESRAT_T4">'[15]（保险公司）非寿险业务保险风险-保费和准备金风险'!$J$8</definedName>
    <definedName name="PY_EXPENSE">'[2]P&amp;L (PY Act)'!$B$73:$T$103</definedName>
    <definedName name="M_PRE_T2_L2RF">'[15]保费、准备金风险因子'!$E$6</definedName>
    <definedName name="M_RESRAT_T6">#REF!</definedName>
    <definedName name="M_PRE_T6">#REF!</definedName>
    <definedName name="M_RESRAT_T7">#REF!</definedName>
    <definedName name="M_REST1K">'[15]保费、准备金风险因子'!$E$59</definedName>
    <definedName name="OR07_D1.4_业绩管理、薪酬">'[12]Database-分值计算'!$B$369:$C$370</definedName>
    <definedName name="M_REST1K1_2">'[15]保费、准备金风险因子'!$K$26</definedName>
    <definedName name="M_REST2K">'[15]保费、准备金风险因子'!$E$60</definedName>
    <definedName name="OR10_X2.3.1_压力测试">'[12]Database-下拉框'!$B$202:$B$203</definedName>
    <definedName name="OR05_X2.1_特殊环节集中度">'[12]Database-下拉框'!$B$91:$B$92</definedName>
    <definedName name="OR18_D2.1.2_寿险业每家分支机构受罚款金额">'[12]Database-分值计算'!$B$877:$C$880</definedName>
    <definedName name="M_REST2K1_3">'[15]保费、准备金风险因子'!$K$30</definedName>
    <definedName name="Print_Area_Reset">OFFSET(Full_Print,0,0,Last_Row)</definedName>
    <definedName name="ACTUAL_PLAN">[2]RANGES!$F$5:$F$6</definedName>
    <definedName name="OR09_X2.6.1_每一危险单位划分是否符合相关法律法规">'[12]Database-下拉框'!$B$127:$B$128</definedName>
    <definedName name="M_REST3K">'[15]保费、准备金风险因子'!$E$61</definedName>
    <definedName name="OR06_D1.1_理赔人员人均办理理赔案件数量得分">'[12]Database-分值计算'!$B$289:$C$292</definedName>
    <definedName name="OR07_D1.2_招聘、解雇">'[12]Database-分值计算'!$B$363:$C$365</definedName>
    <definedName name="M_REST3K1_3">'[15]保费、准备金风险因子'!$K$33</definedName>
    <definedName name="M_REST4K">'[15]保费、准备金风险因子'!$E$62</definedName>
    <definedName name="OR14_D1_精算人员数量">'[12]Database-分值计算'!$B$469:$C$470</definedName>
    <definedName name="CY_SALES">'[2]P&amp;L (CY Act)'!$B$5:$T$35</definedName>
    <definedName name="OR09_D4.2_分保安排及确认的及时性">'[12]Database-分值计算'!$B$463:$C$465</definedName>
    <definedName name="OR01_X2.4.2_根据应收保费管理细则实施应收保费的日常管理情况">'[12]Database-下拉框'!$B$21:$B$22</definedName>
    <definedName name="M_REST4K1_1">'[15]保费、准备金风险因子'!$K$34</definedName>
    <definedName name="MORT_TBL">[1]Mortality!$A$4:$IV$109</definedName>
    <definedName name="M_PRET4K1_1">'[15]保费、准备金风险因子'!$C$37</definedName>
    <definedName name="M_PRE_T7_L5RF">'[15]保费、准备金风险因子'!$K$11</definedName>
    <definedName name="M_REST4K1_2">'[15]保费、准备金风险因子'!$K$35</definedName>
    <definedName name="M_PRET1K2_3">'[15]保费、准备金风险因子'!$E$27</definedName>
    <definedName name="OR01_X2.5.4_隐瞒合同重要内容如免责退保等内容情况">'[12]Database-下拉框'!$B$33:$B$34</definedName>
    <definedName name="OR05_D2.3立案注销率得分">'[12]Database-分值计算'!$B$243:$C$245</definedName>
    <definedName name="M_REST7K">'[15]保费、准备金风险因子'!$E$65</definedName>
    <definedName name="M_WY_XT_K12">#REF!</definedName>
    <definedName name="RES_CIRCAP_LOAD_TBL">[1]RES_SURR_BASIS!$A$20:$IV$24</definedName>
    <definedName name="MAT_BASE_BEN">[1]Inputs!$D$48</definedName>
    <definedName name="MAT_MULT">[1]Inputs!$D$47</definedName>
    <definedName name="M_AR_2">#REF!</definedName>
    <definedName name="MAT_MULT_COL">[1]OTHER_BEN!$A$1:$IV$1</definedName>
    <definedName name="OR06_D2.2_赔款支付平均时长行业均值大于10">'[12]Database-分值计算'!$B$316:$C$318</definedName>
    <definedName name="M_PRE_T2_L3AMT">'[15]保费、准备金风险因子'!$F$6</definedName>
    <definedName name="MAT_MULT_TBL">[1]OTHER_BEN!$A$2:$IV$65536</definedName>
    <definedName name="MAX_MORT_IMPROVE">[1]Inputs!$D$125</definedName>
    <definedName name="OR12_X2.8.1_税收管理">'[12]Database-下拉框'!$B$287:$B$289</definedName>
    <definedName name="OR10_D6.2_交易行为操作风险事件">'[12]Database-分值计算'!$B$681:$C$683</definedName>
    <definedName name="OR09_X2.6.2_每一危险单位自留额管理">'[12]Database-下拉框'!$B$129:$B$130</definedName>
    <definedName name="MC">[3]偿付能力计算!#REF!</definedName>
    <definedName name="Mkt_Corr">[3]偿付能力计算!$R$4:$W$9</definedName>
    <definedName name="OR01_X1.2.1_核保授权管理建设情况">'[12]Database-下拉框'!$B$10:$B$12</definedName>
    <definedName name="OR02_X3.2.2_意外险保单信息记录的完整性">'[12]Database-下拉框'!$B$58:$B$59</definedName>
    <definedName name="MORT">[1]Inputs!$D$121</definedName>
    <definedName name="MORT_IMPROVE_TBL">[1]Mort_Improve!$A$2:$IV$107</definedName>
    <definedName name="SURR_TERM">[1]Inputs!$D$199</definedName>
    <definedName name="M_REST2K1_2">'[15]保费、准备金风险因子'!$K$29</definedName>
    <definedName name="MORT_LOAD">[1]Inputs!$C$129:$D$130</definedName>
    <definedName name="OR12_X4.2_新政策培训">'[12]Database-下拉框'!$B$299:$B$300</definedName>
    <definedName name="MORT_LOAD_DPER">[1]Inputs!$D$124</definedName>
    <definedName name="OR05_D1_不相容职务分离得分">'[12]Database-分值计算'!$B$235:$C$237</definedName>
    <definedName name="M_MKT_EQ_3">#REF!</definedName>
    <definedName name="MORT_LOAD_TBL">[1]Mortality_Assump!$A$34:$IV$35</definedName>
    <definedName name="MORT_LOAD2">[1]Inputs!$C$129:$E$130</definedName>
    <definedName name="OR10_D1.2.2_人员结构">'[12]Database-分值计算'!$B$548:$C$549</definedName>
    <definedName name="M_PRE_T7">#REF!</definedName>
    <definedName name="MORT2">[1]Inputs!$E$121</definedName>
    <definedName name="OR01_D2.2.1.2_对不需审批的保险条款和费率执行情况">'[12]Database-分值计算'!$B$25:$C$26</definedName>
    <definedName name="MP_DB">[1]Model_pt!$A$3:$IV$65536</definedName>
    <definedName name="M_PRET1K1_4">'[15]保费、准备金风险因子'!$C$28</definedName>
    <definedName name="MTH">[2]RANGES!$C$5:$C$16</definedName>
    <definedName name="mth_int">[1]Inputs!$E$219</definedName>
    <definedName name="M_WY_XT_K11">#REF!</definedName>
    <definedName name="MULT_TIME">[1]Multipliers!$A$2:$IV$3</definedName>
    <definedName name="M_PLEDGE">#REF!</definedName>
    <definedName name="NB_Prop">[17]综合_个红!$C$6</definedName>
    <definedName name="LR01_D1.1.3.4_在压力情景下未来预计净现金流_人身险公司_报告日后第2年和第3年">'[12]Database-分值计算'!$B$929:$C$930</definedName>
    <definedName name="NLP_CHRG">[1]Inputs!$D$170</definedName>
    <definedName name="NP_CALC_TBL">[1]Reserve!$V$1:$W$5</definedName>
    <definedName name="OR02_D3.1_银保通系统得分">'[12]Database-分值计算'!$B$114:$C$115</definedName>
    <definedName name="CY_PROFIT">'[2]P&amp;L (CY Act)'!$B$106:$T$106</definedName>
    <definedName name="OCOMM_COL">'[1]Override Comm'!$A$1:$IV$1</definedName>
    <definedName name="OR01_D1.1.1_销售人员管理情况">'[12]Database-分值计算'!$B$2:$C$4</definedName>
    <definedName name="OR01_X2.5.5_提供虚假产品信息情况">'[12]Database-下拉框'!$B$35:$B$36</definedName>
    <definedName name="OR01_D3.1.1.3_承保业务系统与再保、财务系统对接情况得分">'[12]Database-分值计算'!$B$58:$C$59</definedName>
    <definedName name="OR02_D1.4_核保人员工作经验">'[12]Database-分值计算'!$B$92:$C$95</definedName>
    <definedName name="OR08_D3.3_系统对接">'[12]Database-分值计算'!$B$423:$C$424</definedName>
    <definedName name="OR04_D2.1.1_中介协议签订率得分">'[12]Database-分值计算'!$B$196:$C$197</definedName>
    <definedName name="OR01_D2.1.1_合作中介机构资质完备率">'[12]Database-分值计算'!$B$11:$C$14</definedName>
    <definedName name="INFLATION">[1]Inputs!$D$75</definedName>
    <definedName name="OR02_X3.1_银邮保通系统">'[12]Database-下拉框'!$B$54:$B$55</definedName>
    <definedName name="RR01_X1.3_外部因素">#REF!</definedName>
    <definedName name="OR07_D2.5_赔款转账直付比例">'[12]Database-分值计算'!$B$381:$C$383</definedName>
    <definedName name="OR01_D2.3_承保档案管理情况">'[12]Database-分值计算'!$B$33:$C$35</definedName>
    <definedName name="OR03_D2.1.3_佣金支付方式得分">'[12]Database-分值计算'!$B$154:$C$156</definedName>
    <definedName name="OR05_D2.1_特殊环节集中度得分">'[12]Database-分值计算'!$B$238:$C$239</definedName>
    <definedName name="OR10_D2.5.2.1.2_委托投资决策流程信息化和自动化">'[12]Database-分值计算'!$B$605:$C$607</definedName>
    <definedName name="OR01_D2.4.2_根据应收保费管理细则实施应收保费的日常管理情况">'[12]Database-分值计算'!$B$38:$C$39</definedName>
    <definedName name="OR01_D2.4.3_对应收账龄超过3个月的应收保费开展催收情况">'[12]Database-分值计算'!$B$40:$C$41</definedName>
    <definedName name="M_MKT_EQ_6">#REF!</definedName>
    <definedName name="OR01_D2.5.1_利用广告后其他宣传方式对保险条款内容和服务质量等做引人误解的宣传情况">'[12]Database-分值计算'!$B$44:$C$45</definedName>
    <definedName name="MORT_CHRG_TBL">[1]Inputs!$D$94</definedName>
    <definedName name="OR04_D1.2_招聘、解雇得分">'[12]Database-分值计算'!$B$188:$C$190</definedName>
    <definedName name="OR01_D2.5.2_在销售活动中阻碍消费者履行如实告知义务或诱导其不履行如实告知义务情况">'[12]Database-分值计算'!$B$46:$C$47</definedName>
    <definedName name="Princ">#REF!</definedName>
    <definedName name="OR13_D2.2.3_非现金付款比率">'[12]Database-分值计算'!$B$794:$C$796</definedName>
    <definedName name="M_PRET5K">'[15]保费、准备金风险因子'!$E$53</definedName>
    <definedName name="OR01_D2.5.4_隐瞒合同重要内容如免责退保等内容情况">'[12]Database-分值计算'!$B$50:$C$51</definedName>
    <definedName name="M_RES_T2_L5AMT">'[15]保费、准备金风险因子'!$J$17</definedName>
    <definedName name="OR01_D3.1.1.1_业务信息系统管理完整性得分">'[12]Database-分值计算'!$B$54:$C$55</definedName>
    <definedName name="OR01_X2.4.1_符合产品特点的应收保费管理细则制定情况">'[12]Database-下拉框'!$B$19:$B$20</definedName>
    <definedName name="OR01_D3.1.1.2_业务统计分析系统管理完整性得分">'[12]Database-分值计算'!$B$56:$C$57</definedName>
    <definedName name="OR01_X1.1.1_销售人员管理情况">'[12]Database-下拉框'!$B$4:$B$6</definedName>
    <definedName name="OR01_D3.1.2_销售管理系统建设情况">'[12]Database-分值计算'!$B$60:$C$62</definedName>
    <definedName name="OR03_X1.4_业绩考核">'[12]Database-下拉框'!$B$72:$B$73</definedName>
    <definedName name="Loan_Amount">#REF!</definedName>
    <definedName name="OR01_D5.1_行业人员水平调整">'[12]Database-分值计算'!$B$71:$C$73</definedName>
    <definedName name="AP_MULT">[1]Inputs!#REF!</definedName>
    <definedName name="OR01_D6.2_农业保险承保到户情况">'[12]Database-分值计算'!$B$69:$C$70</definedName>
    <definedName name="OR01_D6.1_农业保险核验标的率">'[12]Database-分值计算'!$B$66:$C$68</definedName>
    <definedName name="OR01_X1.1.2_核保人员管理情况">'[12]Database-下拉框'!$B$7:$B$9</definedName>
    <definedName name="OR01_X2.2.1.2_对不需审批的保险条款和费率执行情况">'[12]Database-下拉框'!$B$15:$B$16</definedName>
    <definedName name="OR01_X2.2.1.3_经保监会批准或备案的保险条款和费率的执行情况">'[12]Database-下拉框'!$B$17:$B$18</definedName>
    <definedName name="RY_SURR_NP">[1]CSV!$Z$2</definedName>
    <definedName name="OR01_X2.3_承保档案管理情况">'[12]Database-下拉框'!$B$37:$B$39</definedName>
    <definedName name="OR01_X2.4.3_对应收账龄超过3个月的应收保费开展催收情况">'[12]Database-下拉框'!$B$23:$B$24</definedName>
    <definedName name="M_MKT_EQ_6.2">#REF!</definedName>
    <definedName name="OR01_X2.5.3_夸大保险产品保障情况">'[12]Database-下拉框'!$B$31:$B$32</definedName>
    <definedName name="OR01_X3.1.1.2_业务统计分析系统管理完整性">'[12]Database-下拉框'!$B$42:$B$43</definedName>
    <definedName name="OR01_X3.2.1_关键承保信息质量及一致性情况">'[12]Database-下拉框'!$B$49:$B$51</definedName>
    <definedName name="OR01_X6.2_农业保险承保到户情况">'[12]Database-下拉框'!$B$52:$B$53</definedName>
    <definedName name="OR02_D1.2_电话回访人员数量">'[12]Database-分值计算'!$B$84:$C$87</definedName>
    <definedName name="OR10_D3.1.1.1_自行投资系统自动化">'[12]Database-分值计算'!$B$656:$C$659</definedName>
    <definedName name="_age2">[1]Inputs!$E$14</definedName>
    <definedName name="OR02_D2.1_电话回访成功率">'[12]Database-分值计算'!$B$104:$C$106</definedName>
    <definedName name="M_RES_T1_L2RF">'[15]保费、准备金风险因子'!$E$16</definedName>
    <definedName name="OR05_D6.1_内部稽核">'[12]Database-分值计算'!$B$282:$C$285</definedName>
    <definedName name="OR02_D3.3.1_系统完整性控制功能得分">'[12]Database-分值计算'!$B$120:$C$122</definedName>
    <definedName name="OR12_D1.2.1.1_财务处理情况">'[12]Database-分值计算'!$B$693:$C$696</definedName>
    <definedName name="bid_ask">[1]Inputs!#REF!</definedName>
    <definedName name="OR02_D4.2_保险公司接到的关于承保、销售业务线的投诉得分">'[12]Database-分值计算'!$B$131:$C$135</definedName>
    <definedName name="OR09_D3.3_IT系统统计保监会要求上报的各类再保险数据报表">'[12]Database-分值计算'!$B$454:$C$455</definedName>
    <definedName name="OR02_X3.2.1_与核心业务系统实时对接">'[12]Database-下拉框'!$B$56:$B$57</definedName>
    <definedName name="OR02_D2.2_电客户信息真实性">'[12]Database-分值计算'!$B$106:$C$109</definedName>
    <definedName name="OR02_X3.3.1_系统完整性控制功能得分">'[12]Database-下拉框'!$B$60:$B$62</definedName>
    <definedName name="DB_TITLE">[2]RANGES!$O$5</definedName>
    <definedName name="MP_COL">[1]Model_pt!$A$2:$IV$2</definedName>
    <definedName name="OR03_D1.3_培训得分">'[12]Database-分值计算'!$B$145:$C$147</definedName>
    <definedName name="OR03_D1.4_业绩管理、薪酬得分">'[12]Database-分值计算'!$B$148:$C$149</definedName>
    <definedName name="OR03_D2.1.1_中介协议签订率得分">'[12]Database-分值计算'!$B$150:$C$151</definedName>
    <definedName name="M_RES_T3">'[15]（保险公司）非寿险业务保险风险-保费和准备金风险'!$G$7</definedName>
    <definedName name="MORTI_MULT_COL">[1]Mort_Improve!$A$1:$IV$1</definedName>
    <definedName name="OR03_D2.2.1_核保权限集中度得分">'[12]Database-分值计算'!$B$157:$C$159</definedName>
    <definedName name="OR03_D2.3.1_保费批退率得分">'[12]Database-分值计算'!$B$168:$C$170</definedName>
    <definedName name="M_PRET1K1_2">'[15]保费、准备金风险因子'!$C$26</definedName>
    <definedName name="OR03_D2.3.2_保全差错率得分">'[12]Database-分值计算'!$B$171:$C$173</definedName>
    <definedName name="OR08_D1.2_招聘、解雇">'[12]Database-分值计算'!$B$401:$C$403</definedName>
    <definedName name="OR03_D2.3.3_批减资金支付方式得分">'[12]Database-分值计算'!$B$174:$C$175</definedName>
    <definedName name="MULT_COL_NAME">[1]Multipliers!$A$2:$IV$2</definedName>
    <definedName name="OR04_D2.2.1_承保标的风险评估得分">'[12]Database-分值计算'!$B$203:$C$204</definedName>
    <definedName name="OR10_X2.5.1_投资授权制度">'[12]Database-下拉框'!$B$213:$B$214</definedName>
    <definedName name="OR02_X3.3.2_系统逻辑准确性功能得分">'[12]Database-下拉框'!$B$63:$B$65</definedName>
    <definedName name="M_RES_T6_L3RF">'[15]保费、准备金风险因子'!$G$21</definedName>
    <definedName name="OR04_D2.2.2_犹豫期内电话回访成功率得分">'[12]Database-分值计算'!$B$205:$C$208</definedName>
    <definedName name="OR17_D3.7_问责完成率情况">'[12]Database-分值计算'!$B$847:$C$848</definedName>
    <definedName name="OR12_D2.7.2_印章管理操作风险事件">'[12]Database-分值计算'!$B$742:$C$744</definedName>
    <definedName name="OR05_X6.1_内部稽核">'[12]Database-下拉框'!$B$96:$B$99</definedName>
    <definedName name="OR04_D2.3.1_续期收费率得分">'[12]Database-分值计算'!$B$212:$C$214</definedName>
    <definedName name="LR01_D1.2.4_综合流动比率_人身险公司">'[12]Database-分值计算'!$B$933:$C$934</definedName>
    <definedName name="M_REST3K1_2">'[15]保费、准备金风险因子'!$K$32</definedName>
    <definedName name="OR04_X3.2_佣金系统计提">'[12]Database-下拉框'!$B$86:$B$87</definedName>
    <definedName name="OR04_D2.3.3_退撤保率得分">'[12]Database-分值计算'!$B$218:$C$220</definedName>
    <definedName name="OR10_X2.3.2.1_自行投资分账户">'[12]Database-下拉框'!$B$204:$B$206</definedName>
    <definedName name="OR04_D2.3.5_保全差错率得分">'[12]Database-分值计算'!$B$224:$C$226</definedName>
    <definedName name="OR08_D1.4_业绩管理、薪酬">'[12]Database-分值计算'!$B$407:$C$408</definedName>
    <definedName name="OR04_D2.3.6_保单质押贷款支付方式得分">'[12]Database-分值计算'!$B$227:$C$228</definedName>
    <definedName name="OR04_D3.2_佣金系统计提得分">'[12]Database-分值计算'!$B$229:$C$230</definedName>
    <definedName name="OR10_D1.4.2.1_自行投资风险管理人员激励机制">'[12]Database-分值计算'!$B$565:$C$567</definedName>
    <definedName name="M_MKT_EQ_3.4.1">#REF!</definedName>
    <definedName name="OR04_D5_亿元保费销售、承保、保全操作风险事件数">'[12]Database-分值计算'!$B$231:$C$234</definedName>
    <definedName name="OR04_X1.4_业绩考核">'[12]Database-下拉框'!$B$80:$B$81</definedName>
    <definedName name="OR07_D2.6_已发生已报告未决赔款准备金发展偏差率">'[12]Database-分值计算'!$B$384:$C$386</definedName>
    <definedName name="OR04_X2.2.1_承保标的风险评估">'[12]Database-下拉框'!$B$82:$B$83</definedName>
    <definedName name="OR04_X2.3.6_保单质押贷款支付方式">'[12]Database-下拉框'!$B$84:$B$85</definedName>
    <definedName name="OR05_D2.2.1限时立案率得分">'[12]Database-分值计算'!$B$240:$C$242</definedName>
    <definedName name="OR05_D2.4立案注销恢复率得分">'[12]Database-分值计算'!$B$246:$C$248</definedName>
    <definedName name="OR05_D2.5_已发生已报告未决赔款准备金发展偏差率_II类公司">'[12]Database-分值计算'!$B$256:$C$260</definedName>
    <definedName name="OR05_D2.6注销恢复及案件重开率得分">'[12]Database-分值计算'!$B$261:$C$263</definedName>
    <definedName name="M_MKT_EQ_10.10">'[16]市场风险-权益价格风险'!$M$48</definedName>
    <definedName name="OR05_D2.7.2非车险报案结案率得分">'[12]Database-分值计算'!$B$267:$C$269</definedName>
    <definedName name="OR05_D4_理赔反欺诈模块">'[12]Database-分值计算'!$B$270:$C$272</definedName>
    <definedName name="MORT_ASS_TBL">[1]Mortality_Assump!$A$2:$IV$65536</definedName>
    <definedName name="OR05_D5.1_行业人员水平调整得分">'[12]Database-分值计算'!$B$273:$C$275</definedName>
    <definedName name="M_PRE_T1_L3AMT">'[15]保费、准备金风险因子'!$F$5</definedName>
    <definedName name="OR05_D5.3_行业系统水平调整得分">'[12]Database-分值计算'!$B$279:$C$281</definedName>
    <definedName name="OR05_D6.2_赔付后回访率得分">'[12]Database-分值计算'!$B$286:$C$288</definedName>
    <definedName name="OR07_D3.3_系统对接">'[12]Database-分值计算'!$B$392:$C$393</definedName>
    <definedName name="OR06_D2.1_索赔核定平均时长得分">'[12]Database-分值计算'!$B$305:$C$306</definedName>
    <definedName name="RES_DMORT">[1]Inputs!$D$163</definedName>
    <definedName name="OR06_D2.1_索赔核定平均时长行业均值大于8">'[12]Database-分值计算'!$B$307:$C$309</definedName>
    <definedName name="Num_Pmt_Per_Year">#REF!</definedName>
    <definedName name="OR06_D2.2_赔款支付平均时长得分">'[12]Database-分值计算'!$B$314:$C$315</definedName>
    <definedName name="OR06_D2.2_赔款支付平均时长行业均值小于10">'[12]Database-分值计算'!$B$319:$C$322</definedName>
    <definedName name="OR09_X1.2_再保险分入业务管理情况">'[12]Database-下拉框'!$B$117:$B$118</definedName>
    <definedName name="OR06_D2.3保全受理平均时长行业均值大于2">'[12]Database-分值计算'!$B$325:$C$327</definedName>
    <definedName name="OR06_D2.3保全受理平均时长行业均值小于2">'[12]Database-分值计算'!$B$328:$C$331</definedName>
    <definedName name="OR12_X3.4.1_数据核对频率">'[12]Database-下拉框'!$B$294:$B$296</definedName>
    <definedName name="OR06_D2.4保全处理平均时长得分">'[12]Database-分值计算'!$B$332:$C$333</definedName>
    <definedName name="OR06_D2.4保全处理平均时长得分行业均值大于5">'[12]Database-分值计算'!$B$334:$C$336</definedName>
    <definedName name="OR18_D2.1_每家分支机构受罚款金额_公司类型">'[12]Database-分值计算'!$B$870:$C$872</definedName>
    <definedName name="OR06_D2.5投诉处理平均时长得分行业均值大于10">'[12]Database-分值计算'!$B$343:$C$345</definedName>
    <definedName name="OR06_D4.2_保险公司接到的关于理赔、保全业务线的投诉得分">'[12]Database-分值计算'!$B$355:$C$359</definedName>
    <definedName name="OR07_D2.3_部门负责人培训">'[12]Database-分值计算'!$B$375:$C$377</definedName>
    <definedName name="OR07_D2.4_案均核赔支付时效">'[12]Database-分值计算'!$B$378:$C$380</definedName>
    <definedName name="M_MKT_EQ_10.9">'[16]市场风险-权益价格风险'!$M$47</definedName>
    <definedName name="OR07_D3.2_反欺诈识别">'[12]Database-分值计算'!$B$390:$C$391</definedName>
    <definedName name="M_AR_10">'[14]信用风险-交易对手违约风险最低资本'!$Q$18</definedName>
    <definedName name="OR07_D5_基于行业总体水平的调整">'[12]Database-分值计算'!$B$394:$C$397</definedName>
    <definedName name="OR07_X1.3_部门负责人培训">#REF!</definedName>
    <definedName name="M_PRE_T3_L3RF">'[15]保费、准备金风险因子'!$G$7</definedName>
    <definedName name="OR07_X1.4_业绩管理、薪酬">'[12]Database-下拉框'!$B$100:$B$101</definedName>
    <definedName name="OR08_D2.1_案均核赔支付时效">'[12]Database-分值计算'!$B$409:$C$411</definedName>
    <definedName name="OR08_D2.3_赔款转账直付比例">'[12]Database-分值计算'!$B$416:$C$418</definedName>
    <definedName name="CY">[2]RANGES!$G$6</definedName>
    <definedName name="OR08_X1.3_部门负责人培训">#REF!</definedName>
    <definedName name="OR08_X1.4_业绩管理、薪酬">'[12]Database-下拉框'!$B$108:$B$109</definedName>
    <definedName name="OR10_X2.2.2_委托投资指引">'[12]Database-下拉框'!$B$195:$B$197</definedName>
    <definedName name="OR10_D2.5.2.2.2_委托投资决策书面记录">'[12]Database-分值计算'!$B$611:$C$613</definedName>
    <definedName name="Govt_Stress_Header">'[9]Stress Scenario Input'!$C$5:$G$5</definedName>
    <definedName name="M_MKT_EQ_3.2">#REF!</definedName>
    <definedName name="OR08_X3.2_反欺诈识别">'[12]Database-下拉框'!$B$110:$B$111</definedName>
    <definedName name="OR09_D1.2_再保险分入业务分工情况">'[12]Database-分值计算'!$B$432:$C$433</definedName>
    <definedName name="OR10_X3.1.1.2_委托投资系统自动化">'[12]Database-下拉框'!$B$261:$B$263</definedName>
    <definedName name="OR09_D2.2.3_再保险接受人信用风险突发应急预案管理情况">'[12]Database-分值计算'!$B$436:$C$437</definedName>
    <definedName name="OR09_D2.3.2_需续保的再保合约业务及时性得分">'[12]Database-分值计算'!$B$438:$C$439</definedName>
    <definedName name="OR09_D2.5.1_再保险应收应付款项管理情况">'[12]Database-分值计算'!$B$440:$C$441</definedName>
    <definedName name="GW">#REF!</definedName>
    <definedName name="OR09_D2.6.1_每一危险单位划分符合相关法律法规情况得分">'[12]Database-分值计算'!$B$442:$C$443</definedName>
    <definedName name="OR09_D2.6.2_每一危险单位划分符合公司内部规定情况得分">'[12]Database-分值计算'!$B$444:$C$445</definedName>
    <definedName name="OR09_D2.8.1_完成外部审计">'[12]Database-分值计算'!$B$446:$C$447</definedName>
    <definedName name="OR09_D3.5_再保系统记录修改痕迹功能">'[12]Database-分值计算'!$B$458:$C$459</definedName>
    <definedName name="OR10_D1.1.1_资产管理部门负责人从业经验">'[12]Database-分值计算'!$B$534:$C$536</definedName>
    <definedName name="M_MKT_EQ_2">#REF!</definedName>
    <definedName name="OR09_D4.1_再保险管理组织架构">'[12]Database-分值计算'!$B$460:$C$462</definedName>
    <definedName name="OR09_D4.3_再保系统独立性和完整性">'[12]Database-分值计算'!$B$466:$C$468</definedName>
    <definedName name="JL">[1]Inputs!$D$10</definedName>
    <definedName name="OR09_X1.1_再保险业务管理情况">'[12]Database-下拉框'!$B$114:$B$116</definedName>
    <definedName name="OR12_D2.2.1_核算集中度">'[12]Database-分值计算'!$B$713:$C$714</definedName>
    <definedName name="OR09_X2.2.1_再保险接受人及经纪人资信管理情况">'[12]Database-下拉框'!$B$119:$B$120</definedName>
    <definedName name="RES_MORT_LOAD">[1]Inputs!$C$185:$D$186</definedName>
    <definedName name="OR09_X2.2.3_再保险接受人信用风险突发应急预案管理情况">'[12]Database-下拉框'!$B$121:$B$122</definedName>
    <definedName name="OR09_X3.1_再保系统与其他系统链接">'[12]Database-下拉框'!$B$131:$B$132</definedName>
    <definedName name="Cum_Int">#REF!</definedName>
    <definedName name="OR09_X3.4_再保险IT系统权限管理情况">'[12]Database-下拉框'!$B$137:$B$138</definedName>
    <definedName name="OR09_X3.5_再保系统记录修改痕迹功能">'[12]Database-下拉框'!$B$139:$B$140</definedName>
    <definedName name="M_PRE_T6_L3RF">'[15]保费、准备金风险因子'!$G$10</definedName>
    <definedName name="OR10_D1.1.2_资产管理部门负责人违法违规及处罚">'[12]Database-分值计算'!$B$537:$C$538</definedName>
    <definedName name="OR01_X2.5.2_在销售活动中阻碍消费者履行如实告知义务或诱导其不履行如实告知义务情况">'[12]Database-下拉框'!$B$29:$B$30</definedName>
    <definedName name="OR10_D1.1.3_资产管理部门人员平均从业年限">'[12]Database-分值计算'!$B$539:$C$541</definedName>
  </definedNames>
  <calcPr calcId="191029"/>
</workbook>
</file>

<file path=xl/comments1.xml><?xml version="1.0" encoding="utf-8"?>
<comments xmlns="http://schemas.openxmlformats.org/spreadsheetml/2006/main">
  <authors>
    <author>tc={F3A1C3C4-86A3-4F1B-A915-4AFB29783FCD}</author>
  </authors>
  <commentList>
    <comment ref="C4" authorId="0">
      <text>
        <r>
          <t>中债到期</t>
        </r>
      </text>
    </comment>
  </commentList>
</comments>
</file>

<file path=xl/comments2.xml><?xml version="1.0" encoding="utf-8"?>
<comments xmlns="http://schemas.openxmlformats.org/spreadsheetml/2006/main">
  <authors>
    <author>tc={19E7E33A-834C-473A-AED2-2161807083B4}</author>
  </authors>
  <commentList>
    <comment ref="C3" authorId="0">
      <text>
        <r>
          <t>中债到期</t>
        </r>
      </text>
    </comment>
  </commentList>
</comments>
</file>

<file path=xl/sharedStrings.xml><?xml version="1.0" encoding="utf-8"?>
<sst xmlns="http://schemas.openxmlformats.org/spreadsheetml/2006/main" count="644" uniqueCount="644">
  <si>
    <t/>
  </si>
  <si>
    <t>资产唯一识别码/AssetUniqueIdentification</t>
  </si>
  <si>
    <t>资产名称/AssetName</t>
  </si>
  <si>
    <t>保险账户分类/InsuranceAccountType</t>
  </si>
  <si>
    <t>资产配置分类一级/SAAAssetTypeLevel1</t>
  </si>
  <si>
    <t>资产配置分类二级/SAAAssetTypeLevel2</t>
  </si>
  <si>
    <t>资产配置分类三级/SAAAssetTypeLevel3</t>
  </si>
  <si>
    <t>ALM五级分类/ALMClassificationLevel5</t>
  </si>
  <si>
    <t>偿付能力分类/SolvencyType</t>
  </si>
  <si>
    <t>会计分类/AccountingType</t>
  </si>
  <si>
    <t>资产组合名称/PortfolioName</t>
  </si>
  <si>
    <t>建模类型/ModelType</t>
  </si>
  <si>
    <t>净价市场价值/CleanMarketValue</t>
  </si>
  <si>
    <t>风险暴露/EX</t>
  </si>
  <si>
    <t>应收利息风险暴露/InterestEX</t>
  </si>
  <si>
    <t>购买价格/PurchasePrice</t>
  </si>
  <si>
    <t>摊余成本/AmortizedCost</t>
  </si>
  <si>
    <t>净价账面价值/CleanAccountingValue</t>
  </si>
  <si>
    <t>应收利息/AccruedInterest</t>
  </si>
  <si>
    <t>付息频率/Frequency</t>
  </si>
  <si>
    <t>购买日/StartDate</t>
  </si>
  <si>
    <t>首次付息日/FirstCouponDate</t>
  </si>
  <si>
    <t>到期日/EndDate</t>
  </si>
  <si>
    <t>特殊条款/SpecialTerms</t>
  </si>
  <si>
    <t>预期投资收益率/ExpectedReturn</t>
  </si>
  <si>
    <t>基准曲线/BenchmarkCurve</t>
  </si>
  <si>
    <t>信用利差风险因子/CreditSpreadRiskFactor</t>
  </si>
  <si>
    <t>非流动性溢价风险因子/IlliquidityPremiumRiskFactor</t>
  </si>
  <si>
    <t>权益风险因子/EquityRiskFactor</t>
  </si>
  <si>
    <t>面值/Notional</t>
  </si>
  <si>
    <t>面值2/Notional2</t>
  </si>
  <si>
    <t>面值3/Notional3</t>
  </si>
  <si>
    <t>面值4/Notional4</t>
  </si>
  <si>
    <t>面值5/Notional5</t>
  </si>
  <si>
    <t>提前还本日2/Date2</t>
  </si>
  <si>
    <t>提前还本日3/Date3</t>
  </si>
  <si>
    <t>提前还本日4/Date4</t>
  </si>
  <si>
    <t>提前还本日5/Date5</t>
  </si>
  <si>
    <t>票息率/CouponRate</t>
  </si>
  <si>
    <t>票息率2/CouponRate2</t>
  </si>
  <si>
    <t>票息率3/CouponRate3</t>
  </si>
  <si>
    <t>票息率4/CouponRate4</t>
  </si>
  <si>
    <t>票息率5/CouponRate5</t>
  </si>
  <si>
    <t>票息日期2/CouponRateDate2</t>
  </si>
  <si>
    <t>票息日期3/CouponRateDate3</t>
  </si>
  <si>
    <t>票息日期4/CouponRateDate4</t>
  </si>
  <si>
    <t>票息日期5/CouponRateDate5</t>
  </si>
  <si>
    <t>行权判断1/OptionExcercise1</t>
  </si>
  <si>
    <t>行权判断2/OptionExcercise2</t>
  </si>
  <si>
    <t>行权判断3/OptionExcercise3</t>
  </si>
  <si>
    <t>行权判断4/OptionExcercise4</t>
  </si>
  <si>
    <t>行权判断5/OptionExcercise5</t>
  </si>
  <si>
    <t>行权日期1/OptionExcerciseDate1</t>
  </si>
  <si>
    <t>行权日期2/OptionExcerciseDate2</t>
  </si>
  <si>
    <t>行权日期3/OptionExcerciseDate3</t>
  </si>
  <si>
    <t>行权日期4/OptionExcerciseDate4</t>
  </si>
  <si>
    <t>行权日期5/OptionExcerciseDate5</t>
  </si>
  <si>
    <t>实际利率/CostYTM</t>
  </si>
  <si>
    <t>分红率/DividendYield</t>
  </si>
  <si>
    <t>AFS资产历史累计浮盈浮亏/AFSAccumulatedUnrealisedGain</t>
  </si>
  <si>
    <t>AFS资产当期浮盈浮亏变现比/AFSCurrentGainRealizationRatio</t>
  </si>
  <si>
    <t>违约风险1/PDMarginal1</t>
  </si>
  <si>
    <t>违约损失率1/LossGivenDefault1</t>
  </si>
  <si>
    <t>违约风险2/PDMarginal2</t>
  </si>
  <si>
    <t>违约损失率2/LossGivenDefault2</t>
  </si>
  <si>
    <t>预计信用变化/ExpectedCreditState</t>
  </si>
  <si>
    <t>国债_3Y</t>
  </si>
  <si>
    <t>传统账户</t>
  </si>
  <si>
    <t>固定收益类</t>
  </si>
  <si>
    <t>国债</t>
  </si>
  <si>
    <t>Generic_国债_3Y</t>
  </si>
  <si>
    <t>AFS</t>
  </si>
  <si>
    <t>标准固收类</t>
  </si>
  <si>
    <t>不适用</t>
  </si>
  <si>
    <t>Govt</t>
  </si>
  <si>
    <t>国债_5Y</t>
  </si>
  <si>
    <t>Generic_国债_5Y</t>
  </si>
  <si>
    <t>国债_10Y</t>
  </si>
  <si>
    <t>Generic_国债_10Y</t>
  </si>
  <si>
    <t>国债_20Y</t>
  </si>
  <si>
    <t>Generic_国债_20Y</t>
  </si>
  <si>
    <t>国债_50Y</t>
  </si>
  <si>
    <t>Generic_国债_50Y</t>
  </si>
  <si>
    <t>高等级信用债_3Y</t>
  </si>
  <si>
    <t>高等级信用债</t>
  </si>
  <si>
    <t>Generic_高等级信用债_3Y</t>
  </si>
  <si>
    <t>信用债_3Y</t>
  </si>
  <si>
    <t>CORIG0-3</t>
  </si>
  <si>
    <t>高等级信用债_5Y</t>
  </si>
  <si>
    <t>Generic_高等级信用债_5Y</t>
  </si>
  <si>
    <t>信用债_5Y</t>
  </si>
  <si>
    <t>CORIG3+</t>
  </si>
  <si>
    <t>高等级信用债_10Y</t>
  </si>
  <si>
    <t>Generic_高等级信用债_10Y</t>
  </si>
  <si>
    <t>信用债_10Y</t>
  </si>
  <si>
    <t>非标资产_3Y</t>
  </si>
  <si>
    <t>非标资产</t>
  </si>
  <si>
    <t>Generic_非标资产_3Y</t>
  </si>
  <si>
    <t>非标固收类</t>
  </si>
  <si>
    <t>IP 3Y</t>
  </si>
  <si>
    <t>非标资产_5Y</t>
  </si>
  <si>
    <t>Generic_非标资产_5Y</t>
  </si>
  <si>
    <t>IP 5Y</t>
  </si>
  <si>
    <t>A股</t>
  </si>
  <si>
    <t>权益类</t>
  </si>
  <si>
    <t>上市普通股票</t>
  </si>
  <si>
    <t>Generic_A股</t>
  </si>
  <si>
    <t>A Shares</t>
  </si>
  <si>
    <t>H股</t>
  </si>
  <si>
    <t>Generic_H股</t>
  </si>
  <si>
    <t>H Shares</t>
  </si>
  <si>
    <t>MSCI发达市场</t>
  </si>
  <si>
    <t>Generic_MSCI发达市场</t>
  </si>
  <si>
    <t>MSCI DM Shares</t>
  </si>
  <si>
    <t>MSCI新兴市场</t>
  </si>
  <si>
    <t>Generic_MSCI新兴市场</t>
  </si>
  <si>
    <t>MSCI EM Shares</t>
  </si>
  <si>
    <t>债券基金</t>
  </si>
  <si>
    <t>Generic_债券基金</t>
  </si>
  <si>
    <t>FI Fund</t>
  </si>
  <si>
    <t>货币基金</t>
  </si>
  <si>
    <t>Generic_货币基金</t>
  </si>
  <si>
    <t>Monetary Fund</t>
  </si>
  <si>
    <t>混合基金</t>
  </si>
  <si>
    <t>Generic_混合基金</t>
  </si>
  <si>
    <t>Mixed Fund</t>
  </si>
  <si>
    <t>股票基金</t>
  </si>
  <si>
    <t>Generic_股票基金</t>
  </si>
  <si>
    <t>Equity Fund</t>
  </si>
  <si>
    <t>优先股</t>
  </si>
  <si>
    <t>Generic_优先股</t>
  </si>
  <si>
    <t>LT Equity</t>
  </si>
  <si>
    <t>长期股权投资</t>
  </si>
  <si>
    <t>股权投资</t>
  </si>
  <si>
    <t>Generic_长期股权投资</t>
  </si>
  <si>
    <t>未上市股权</t>
  </si>
  <si>
    <t>Generic_未上市股权</t>
  </si>
  <si>
    <t>固收产品</t>
  </si>
  <si>
    <t>Generic_固收产品</t>
  </si>
  <si>
    <t>现金类</t>
  </si>
  <si>
    <t>Generic_现金类</t>
  </si>
  <si>
    <t>其他信用产品</t>
  </si>
  <si>
    <t>Generic_其他信用产品</t>
  </si>
  <si>
    <t>MTNIG3+</t>
  </si>
  <si>
    <t>存款</t>
  </si>
  <si>
    <t>Generic_存款</t>
  </si>
  <si>
    <t>不动产</t>
  </si>
  <si>
    <t>Generic_不动产</t>
  </si>
  <si>
    <t>Real Estate Index</t>
  </si>
  <si>
    <t>国债_3Y2</t>
  </si>
  <si>
    <t>万能账户</t>
  </si>
  <si>
    <t>国债_5Y2</t>
  </si>
  <si>
    <t>国债_10Y2</t>
  </si>
  <si>
    <t>国债_20Y2</t>
  </si>
  <si>
    <t>国债_50Y2</t>
  </si>
  <si>
    <t>高等级信用债_3Y2</t>
  </si>
  <si>
    <t>高等级信用债_5Y2</t>
  </si>
  <si>
    <t>高等级信用债_10Y2</t>
  </si>
  <si>
    <t>非标资产_3Y2</t>
  </si>
  <si>
    <t>非标资产_5Y2</t>
  </si>
  <si>
    <t>A股2</t>
  </si>
  <si>
    <t>H股2</t>
  </si>
  <si>
    <t>MSCI发达市场2</t>
  </si>
  <si>
    <t>MSCI新兴市场2</t>
  </si>
  <si>
    <t>债券基金2</t>
  </si>
  <si>
    <t>货币基金2</t>
  </si>
  <si>
    <t>混合基金2</t>
  </si>
  <si>
    <t>股票基金2</t>
  </si>
  <si>
    <t>优先股2</t>
  </si>
  <si>
    <t>长期股权投资2</t>
  </si>
  <si>
    <t>未上市股权2</t>
  </si>
  <si>
    <t>固收产品2</t>
  </si>
  <si>
    <t>现金类2</t>
  </si>
  <si>
    <t>其他信用产品2</t>
  </si>
  <si>
    <t>存款2</t>
  </si>
  <si>
    <t>不动产2</t>
  </si>
  <si>
    <t>国债_3Y3</t>
  </si>
  <si>
    <t>分红账户</t>
  </si>
  <si>
    <t>国债_5Y3</t>
  </si>
  <si>
    <t>国债_10Y3</t>
  </si>
  <si>
    <t>国债_20Y3</t>
  </si>
  <si>
    <t>国债_50Y3</t>
  </si>
  <si>
    <t>高等级信用债_3Y3</t>
  </si>
  <si>
    <t>高等级信用债_5Y3</t>
  </si>
  <si>
    <t>高等级信用债_10Y3</t>
  </si>
  <si>
    <t>非标资产_3Y3</t>
  </si>
  <si>
    <t>非标资产_5Y3</t>
  </si>
  <si>
    <t>A股3</t>
  </si>
  <si>
    <t>H股3</t>
  </si>
  <si>
    <t>MSCI发达市场3</t>
  </si>
  <si>
    <t>MSCI新兴市场3</t>
  </si>
  <si>
    <t>债券基金3</t>
  </si>
  <si>
    <t>货币基金3</t>
  </si>
  <si>
    <t>混合基金3</t>
  </si>
  <si>
    <t>股票基金3</t>
  </si>
  <si>
    <t>优先股3</t>
  </si>
  <si>
    <t>长期股权投资3</t>
  </si>
  <si>
    <t>未上市股权3</t>
  </si>
  <si>
    <t>固收产品3</t>
  </si>
  <si>
    <t>现金类3</t>
  </si>
  <si>
    <t>其他信用产品3</t>
  </si>
  <si>
    <t>存款3</t>
  </si>
  <si>
    <t>不动产3</t>
  </si>
  <si>
    <t>check</t>
  </si>
  <si>
    <t>资产合计</t>
  </si>
  <si>
    <t>配置比例</t>
  </si>
  <si>
    <t>波动率</t>
  </si>
  <si>
    <t>预期投资收益率</t>
  </si>
  <si>
    <t>节点/Tenor</t>
  </si>
  <si>
    <t>2024Q3</t>
  </si>
  <si>
    <t>2024Q2</t>
  </si>
  <si>
    <t>中债曲线</t>
  </si>
  <si>
    <t>1M</t>
  </si>
  <si>
    <t>2M</t>
  </si>
  <si>
    <t>国债_30Y</t>
  </si>
  <si>
    <t>3M</t>
  </si>
  <si>
    <t>6M</t>
  </si>
  <si>
    <t>9M</t>
  </si>
  <si>
    <t>12M</t>
  </si>
  <si>
    <t>24M</t>
  </si>
  <si>
    <t>36M</t>
  </si>
  <si>
    <t>48M</t>
  </si>
  <si>
    <t>60M</t>
  </si>
  <si>
    <t>72M</t>
  </si>
  <si>
    <t>纯债基金</t>
  </si>
  <si>
    <t>84M</t>
  </si>
  <si>
    <t>96M</t>
  </si>
  <si>
    <t>108M</t>
  </si>
  <si>
    <t>120M</t>
  </si>
  <si>
    <t>可转债</t>
  </si>
  <si>
    <t>180M</t>
  </si>
  <si>
    <t>240M</t>
  </si>
  <si>
    <t>360M</t>
  </si>
  <si>
    <t>480M</t>
  </si>
  <si>
    <t>600M</t>
  </si>
  <si>
    <t>保险资管产品-固收</t>
  </si>
  <si>
    <t>保险资管产品-权益</t>
  </si>
  <si>
    <t>字段</t>
  </si>
  <si>
    <t>描述</t>
  </si>
  <si>
    <t>校验</t>
  </si>
  <si>
    <t>资产在系统中的唯一编号，用于系统在个券层面进行识别。</t>
  </si>
  <si>
    <t>系统会在上传时校验，用户可自定义但不能重复。不能为空。</t>
  </si>
  <si>
    <t>用于用户识别的资产名称。</t>
  </si>
  <si>
    <t>系统不会在上传时校验，用户可自定义并可以重复。可以为空。</t>
  </si>
  <si>
    <t>为分账户管理的标签，区分各账户内的资产，用于计算需要分账户的计算内容。在进行量化报表计算时，不可以自定义，需要按照监管要求填写保险账户名称。战略资产配置时，可以自定义。</t>
  </si>
  <si>
    <t>系统在上传时校验是否为空，用户可根据下拉框选择，也可自定义。不能为空。</t>
  </si>
  <si>
    <t>用于对资产进行第一级分类。</t>
  </si>
  <si>
    <t>系统会在上传时校验，用户可自定义。【资产配置分类一级/SAAAssetTypeLevel1】是配置【资产配置分类二级/SAAAssetTypeLevel2】前置条件。.</t>
  </si>
  <si>
    <t>用于对资产进行第二级分类。</t>
  </si>
  <si>
    <t>系统会在上传时校验，用户可自定义。资产配置分类二级/SAAAssetTypeLevel2】是配置【资产配置分类三级/SAAAssetTypeLevel3】前置条件。</t>
  </si>
  <si>
    <t>用于对资产进行第三级分类。</t>
  </si>
  <si>
    <t>系统会在上传时校验，用户可自定义。可以为空。</t>
  </si>
  <si>
    <t>用于识别卖出回购类资产。</t>
  </si>
  <si>
    <t>系统会在上传时校验，只能输入指定字段或为空。可以为空。</t>
  </si>
  <si>
    <t>个券层面在偿付能力分类上的标签，用于及偿付能力长期预测。</t>
  </si>
  <si>
    <t>系统不会校验，用户可自定义。可以为空。</t>
  </si>
  <si>
    <t>用于识别资产的会计分类</t>
  </si>
  <si>
    <t>系统会在上传时校验，需要按照下拉框填写，不可自定义。不可为空。</t>
  </si>
  <si>
    <t>为资产组合层面的识别标签，用于对资产进行第四级分类，以及为资产配置优化大类资产标签。</t>
  </si>
  <si>
    <t>系统会在上传时校验是否为空，用户可自定义。不可为空。</t>
  </si>
  <si>
    <t>为个券层面资产建模方法的区分，用于资产基础建模。</t>
  </si>
  <si>
    <t>系统会在上传时校验是否为空，需要按照下拉框填写，不可自定义。不可为空。</t>
  </si>
  <si>
    <t>为个券层面的净价市场价值，用于全价市场价值计算。</t>
  </si>
  <si>
    <t>系统会在上传时校验，用户可自定义，需填写大于0的数值。可以为空。</t>
  </si>
  <si>
    <t>为个券层面偿付能力风险暴露，用于偿二代下偿付能力的计算。</t>
  </si>
  <si>
    <t>系统会校验，需要填写数值。不可为空。</t>
  </si>
  <si>
    <t>为个券层面偿付能力应收利息风险暴露，用于偿付能力交易对手违约风险的最低资本的计算。</t>
  </si>
  <si>
    <t>系统不会校验，需要填写数值。可以为空。</t>
  </si>
  <si>
    <t>用于固收建模，为个券层面的购买时点价格，用于倒算非标资产流动性溢价、成本YTM的倒算（如成本YTM没有填写），以及摊余成本计算（如摊余成本没有填写）。</t>
  </si>
  <si>
    <t>系统会校验固收/非标固收建模的资产，成本YTM或者购买价格其中一个是否填写；用户可自定义，需填写大于0的数值。可以为空。当【建模类型/ModelType】是标准固收类或非标固收类时，【购买价格/PurchasePrice】或【实际利率/CostYTM】至少填一项</t>
  </si>
  <si>
    <t>为个券层面评估时点的摊余成本。</t>
  </si>
  <si>
    <t>系统不会校验；用户可自定义，需要填大于0的数值，需要与成本YTM相匹配。如果两者只填其一，系统会自动倒算。可以为空。</t>
  </si>
  <si>
    <t>为个券层面的净价账面价值，用于全价账面价值计算。</t>
  </si>
  <si>
    <t>系统不会校验；用户可自定义，需填写大于0的数值，但是卖出回购为小于0的数值。可以为空。</t>
  </si>
  <si>
    <t>为个券层面的应收利息，用于全价账面价值计算。</t>
  </si>
  <si>
    <t>系统不会校验；用户可自定义，需填写大于0的数值。可以为空。</t>
  </si>
  <si>
    <t>用于固收建模，为个券层面每年付息的次数，用于资产基础建模。</t>
  </si>
  <si>
    <t>系统会校验，固收/非标固收建模必须填写；用户可自定义，需填写0, 1, 2, 3, 4, 6, 12的整数。可以为空。如果【建模类型/ModelType】是"标准固收类"或"非标固收类"且【特殊条款/SpecialTerms】不为"贴现"与"到期一次还本付息",那么【付息频率/Frequency】为必填项。</t>
  </si>
  <si>
    <t>用于固收建模，为个券层面的购买日期，用于资产基础建模。</t>
  </si>
  <si>
    <t>系统会校验，固收/非标固收建模必须填写；用户可自定义，需填写日期，并在评估时点之前。当【建模类型/ModelType】是标准固收类或非标固收类,且【特殊条款/SpecialTerms】不为"贴现"时【起始日/Start date】为必填项/若填写【起始日/StartDate】则必须在分析时点之前。</t>
  </si>
  <si>
    <t>用于固收建模，为个券层购买后的第一次支付票息的日期，用于资产基础建模。</t>
  </si>
  <si>
    <t>系统不会校验；用户可自定义，需填写日期。可以为空。</t>
  </si>
  <si>
    <t>用于固收建模，为个券层面资产到期的日期，用于资产基础建模。</t>
  </si>
  <si>
    <t>系统会校验，固收/非标固收建模必须填写；用户可自定义，需填写日期，并在起始日、首次付息日等一切资产相关日期之后。可以为空。</t>
  </si>
  <si>
    <t>用于固收建模，为个券层面对于基础资产建模的特殊情况的识别，包括回售、赎回、提前偿还、调整票面利率、贴现、到期一次还本付息、不适用。为特殊条款相关字段的必需字段。</t>
  </si>
  <si>
    <t>系统会校验，用户需要按照特殊字段填写，赎回回售可同时存在。对于没有特殊条款的资产，需要至少填不适用。可以填写"不适用", "到期一次还本付息", "现金", "回售", "赎回", "提前偿还", "调整票面利率", "提前偿还，调整票面利率", "贴现", "赎回，回售", "调整票面利率，提前偿还", "回售，赎回"。</t>
  </si>
  <si>
    <t>为个券层面加权平均口径下的投资收益，用于加权投资收益计算。</t>
  </si>
  <si>
    <t>系统会校验，需填写数值。不可以为空。</t>
  </si>
  <si>
    <t>为固收建模类资产的无风险利率曲线假设，用于基础资产建模。</t>
  </si>
  <si>
    <t>系统会校验，用户可自定义，但填写的字段需要与上传曲线的字段相匹配（存在与“曲线文件”的联合校验）。不可为空。如果【建模类型/ModelType】是标准固收类或非标固收类,那么【基准曲线/BenchmarkCurve】为必填项。</t>
  </si>
  <si>
    <t>为固收建模类资产的信用利差风险因子假设，用于基础资产建模和随机模拟。</t>
  </si>
  <si>
    <t>系统会校验，用户需要按照特殊字段填写（存在与“随机模拟文件”的联合校验），并与随机模拟工作簿中的信用利差字段对应。如果【建模类型/ModelType】是非标固收类,那么【信用利差风险因子/CreditSpreadRiskFactor】为必填项。</t>
  </si>
  <si>
    <t>为非标固收建模类资产的流动性溢价风险因子假设，用于基础资产建模和随机模拟。</t>
  </si>
  <si>
    <t>系统会校验，用户需要按照特殊字段填写（存在与“随机模拟文件”的联合校验），并与随机模拟工作簿中的非流动性溢价字段对应。如果【建模类型/ModelType】是非标固收类,那么【非流动性溢价风险因子/IlliquidityPremiumRiskFactor】为必填项。</t>
  </si>
  <si>
    <t>为权益类资产的风险因子假设，用于基础资产建模和随机模拟。</t>
  </si>
  <si>
    <t>系统会校验，用户需要按照特殊字段填写（存在与“随机模拟文件”的联合校验），并与随机模拟工作簿中的权益因子字段对应。如果【建模类型/ModelType】是权益类,那么【权益风险因子/EquityRiskFactor】为必填项。</t>
  </si>
  <si>
    <t>为固收建模类资产个券层面的面值，用于资产基础建模。</t>
  </si>
  <si>
    <t>系统会校验，固收/非标固收建模必须填写，用户可自定义，需填写大于0的金额。如果【建模类型/ModelType】是标准固收类或非标固收类,那么【面值/Notional】为必填项/如果【建模类型/ModelType】是"标准固收类"或"非标固收类"且【特殊条款/SpecialTerms】为"提前偿还",那么【面值2/Notional2】为必填项/若已填写【面值{nu}/Notional{nu}】,那么【提前还本日{nu}/Date {nu}】为必填项/并且【面值{nu}/Notional{nu}】与上一【面值{nu - 1}/Notional{nu - 1}】比较应为下降趋势。</t>
  </si>
  <si>
    <t>为固收建模类资产个券层面提前还本后的剩余面值，如有则用于资产基础建模。</t>
  </si>
  <si>
    <t>系统会校验，固收/非标固收建模的资产，用户可自定义，需填写大于0的金额。需与提前还本日一一对应，并且面值为下降趋势。</t>
  </si>
  <si>
    <t>为固收建模类资产个券层面提前还本日，如有则用于资产基础建模。</t>
  </si>
  <si>
    <t>系统会校验，固收/非标固收建模的资产，用户可自定义，需填写日期，需与面值一一对应，并且日期为上升趋势。日期需在到期日之前，起始日之后。</t>
  </si>
  <si>
    <t>为固收建模类资产个券层面的票息率，用于资产基础建模。</t>
  </si>
  <si>
    <t>系统会校验，固收/非标固收建模必须填写，用户可自定义，需填写大于0的数值。如果【建模类型/ModelType】是标准固收类或非标固收类且【特殊条款/SpecialTerms】不是"贴现",那么【票息率/CouponRate】为必填项/如果【建模类型/ModelType】是标准固收类或非标固收类且【特殊条款/SpecialTerms】是"调整票面利率",那么【票息率2/CouponRate2】为必填项。</t>
  </si>
  <si>
    <t>为固收建模类资产个券层面调整后票息率，如有则用于资产基础建模。</t>
  </si>
  <si>
    <t>系统会校验，固收/非标固收建模的资产，用户可自定义，需填写大于0的数值。需与票息日期一一对应。</t>
  </si>
  <si>
    <t>为固收建模类资产个券层面调整后票息日期，如有则用于资产基础建模。</t>
  </si>
  <si>
    <t>系统会校验，固收/非标固收建模的资产，用户可自定义，需填写日期，需与票息率一一对应，并且日期为上升趋势。日期需在到期日之前，起始日之后。</t>
  </si>
  <si>
    <t>为固收建模类资产个券层面赎回回售行权判断特征，如有则用于资产基础建模。</t>
  </si>
  <si>
    <t>系统不会校验，需要按照下拉框填写，需要与行权日期一一对应。如不填，系统自动判断是否行权。当【特殊条款/SpecialTerms】是"赎回", "回售", "赎回，回售", "回售，赎回",那么【行权日期1/OptionExcerciseDate1】为必填项/若已填写【行权判断{nu}/OptionExcercise{nu}】,那么【行权日期{nu}/OptionExcerciseDate{nu}】为必填项.</t>
  </si>
  <si>
    <t>系统不会校验，需要按照下拉框填写，需要与行权日期一一对应。如不填，系统自动判断是否行权。</t>
  </si>
  <si>
    <t>为固收建模类资产个券层面赎回回售行权判断日期，如有则用于资产基础建模。</t>
  </si>
  <si>
    <t>系统不会校验，需要按照下拉框填写，需要与行权日期一一对应。如不填，系统自动判断是否行权。当【特殊条款/SpecialTerms】是"赎回", "回售", "赎回，回售", "回售，赎回",那么【行权日期1/OptionExcerciseDate1】为必填项/若已填写【行权判断{nu}/OptionExcercise{nu}】,那么【行权日期{nu}/OptionExcerciseDate{nu}】为必填项。</t>
  </si>
  <si>
    <t>为个券层面购买时点的到期投资收益率，摊余成本和实际收益预测。</t>
  </si>
  <si>
    <t>系统会校验固收/非标固收建模的资产，costYTM或者购买价格其中一个填没填；用户可自定义，需填写数值，需与摊余成本相匹配。如果两者只填其一，系统会自动倒算。当【建模类型/ModelType】是标准固收类或非标固收类时，【购买价格/PurchasePrice】或【实际利率/CostYTM】至少填一项。</t>
  </si>
  <si>
    <t>为权益类资产个券层面的分红率，用于分红收益计算。</t>
  </si>
  <si>
    <t>系统会校验，用户可自定义，需填写数值。在0与1之间的数值。当【建模类型/ModelType】是权益类,那么【分红率/DividendYield】为必填项。</t>
  </si>
  <si>
    <t>AFS资产历史累计浮盈/AFSAccumulatedUnrealisedGain</t>
  </si>
  <si>
    <t>为个券层面在评估时点前的历史累计浮盈浮亏金额，用于浮盈或浮亏计算。</t>
  </si>
  <si>
    <t>系统不会校验，用户可自定义，需填数值。可以为空。</t>
  </si>
  <si>
    <t>AFS资产当期浮盈变现比/AFSCurrentGainRealizationRatio</t>
  </si>
  <si>
    <t>为个券层面在预测时点当期浮盈或者浮亏的变现比例，用于浮盈或浮亏变现计算。</t>
  </si>
  <si>
    <t>用于计算I9下信用减值的减值准备，资产在阶段一时的损失概率。</t>
  </si>
  <si>
    <t>系统不会校验，需要填写数值。</t>
  </si>
  <si>
    <t>用于计算I9下信用减值的减值准备，资产在阶段一时的损失金额百分比。</t>
  </si>
  <si>
    <t>用于计算I9下信用减值的减值准备，资产在阶段二时的损失概率。</t>
  </si>
  <si>
    <t>用于计算I9下信用减值的减值准备，资产在阶段二时的损失金额百分比。</t>
  </si>
  <si>
    <t>用于计算I9下信用减值的减值准备，资产信用阶段的变化情况。</t>
  </si>
  <si>
    <t>系统不会校验，但需要用户根据下拉框填写。</t>
  </si>
  <si>
    <t>是或否</t>
  </si>
  <si>
    <t>币种</t>
  </si>
  <si>
    <t>境外市场</t>
  </si>
  <si>
    <t>境外资产类别</t>
  </si>
  <si>
    <t>穿透资产种类</t>
  </si>
  <si>
    <t>ALM一级分类（寿险）/ALMClassificationLevel1</t>
  </si>
  <si>
    <t>表1-2-5行业名称/Form1-2-5IndustrySector</t>
  </si>
  <si>
    <t>ALM表4流动性资产等级/Form4LiquidityLevel</t>
  </si>
  <si>
    <t>是</t>
  </si>
  <si>
    <t>人民币</t>
  </si>
  <si>
    <t>发达市场</t>
  </si>
  <si>
    <t>同业存单、短期融资券</t>
  </si>
  <si>
    <t>股票（未套保及不符合条件套保）</t>
  </si>
  <si>
    <t>1、现金及流动性管理工具</t>
  </si>
  <si>
    <t>传统保险账户</t>
  </si>
  <si>
    <t>1|农林牧渔</t>
  </si>
  <si>
    <t>高流动性资产</t>
  </si>
  <si>
    <t>否</t>
  </si>
  <si>
    <t>美元和汇率跟美元挂钩的货币</t>
  </si>
  <si>
    <t>新兴市场</t>
  </si>
  <si>
    <t>其他境外固收资产</t>
  </si>
  <si>
    <t>股票（符合条件的套期保值）</t>
  </si>
  <si>
    <t>2、固定收益类投资资产</t>
  </si>
  <si>
    <t>资本金账户</t>
  </si>
  <si>
    <t>2|煤炭</t>
  </si>
  <si>
    <t>中低流动性资产</t>
  </si>
  <si>
    <t>欧元、英镑</t>
  </si>
  <si>
    <t>3、权益类投资资产</t>
  </si>
  <si>
    <t>次级债和资本补充债</t>
  </si>
  <si>
    <t>3|基础化工</t>
  </si>
  <si>
    <t>现金及流动性管理工具</t>
  </si>
  <si>
    <t>其他货币</t>
  </si>
  <si>
    <t>无固定期限资本债券</t>
  </si>
  <si>
    <t>4、投资性房地产</t>
  </si>
  <si>
    <t>分红保险账户</t>
  </si>
  <si>
    <t>4|黑色金属</t>
  </si>
  <si>
    <t>贷款</t>
  </si>
  <si>
    <t>万能保险账户</t>
  </si>
  <si>
    <t>5|有色金属</t>
  </si>
  <si>
    <t>对子公司、合营企业和联营企业的长期股权投资</t>
  </si>
  <si>
    <t>金融衍生工具</t>
  </si>
  <si>
    <t>独立账户</t>
  </si>
  <si>
    <t>6|电子元器件</t>
  </si>
  <si>
    <t>维持阶段一</t>
  </si>
  <si>
    <t>地理位置</t>
  </si>
  <si>
    <t>现金类别</t>
  </si>
  <si>
    <t>基金类型</t>
  </si>
  <si>
    <t>存款类型</t>
  </si>
  <si>
    <t>证券投资基金</t>
  </si>
  <si>
    <t>自用性不动产</t>
  </si>
  <si>
    <t>7|家用电器</t>
  </si>
  <si>
    <t>变差（由阶段一进入阶段二）</t>
  </si>
  <si>
    <t>直辖市、省会城市、计划单列市</t>
  </si>
  <si>
    <t>现金、买入返售金融资产及其他</t>
  </si>
  <si>
    <t>定期存款、协议存款、大额存单</t>
  </si>
  <si>
    <t>可转债、可交换债</t>
  </si>
  <si>
    <t>表1-1-4分类/Form1-1-4Category</t>
  </si>
  <si>
    <t>8|食品饮料</t>
  </si>
  <si>
    <t>维持阶段二</t>
  </si>
  <si>
    <t>境内其他地区</t>
  </si>
  <si>
    <t>拆出资金</t>
  </si>
  <si>
    <t>保本结构性存款</t>
  </si>
  <si>
    <t>利率类金融衍生品</t>
  </si>
  <si>
    <t>ALM二级分类（寿险）/ALMClassificationLevel2</t>
  </si>
  <si>
    <t>9|纺织服饰</t>
  </si>
  <si>
    <t>变好（由阶段二转回阶段一）</t>
  </si>
  <si>
    <t>存放在第三方支付机构账户的资金</t>
  </si>
  <si>
    <t>混合基金、商品及金融衍生品基金</t>
  </si>
  <si>
    <t>非保本结构性存款</t>
  </si>
  <si>
    <t>其他金融衍生品-股指期货（不符合条件套保）</t>
  </si>
  <si>
    <t>1.1境内现金及流动性管理工具</t>
  </si>
  <si>
    <t>（准）政府债券</t>
  </si>
  <si>
    <t>10|轻工制造</t>
  </si>
  <si>
    <t>货币市场基金</t>
  </si>
  <si>
    <t>投资性房地产</t>
  </si>
  <si>
    <t>1.2境外现金及流动性管理工具</t>
  </si>
  <si>
    <t>金融企业（公司）债券</t>
  </si>
  <si>
    <t>11|医药生物</t>
  </si>
  <si>
    <t>定期存款</t>
  </si>
  <si>
    <t>境外固定收益类投资资产</t>
  </si>
  <si>
    <t>2.1境内固定收益类投资资产</t>
  </si>
  <si>
    <t>非金融企业（公司）债券</t>
  </si>
  <si>
    <t>12|公共事业</t>
  </si>
  <si>
    <t>协议存款</t>
  </si>
  <si>
    <t>境外权益类投资资产（长期股权投资）</t>
  </si>
  <si>
    <t>2.2境外固定收益类投资资产</t>
  </si>
  <si>
    <t>非标准固定收益类投资资产</t>
  </si>
  <si>
    <t>13|交通运输</t>
  </si>
  <si>
    <t>到期一次还本付息</t>
  </si>
  <si>
    <t>存款机构类型</t>
  </si>
  <si>
    <t>债券种类</t>
  </si>
  <si>
    <t>股票类型/StockType</t>
  </si>
  <si>
    <t>结构性存款</t>
  </si>
  <si>
    <t>套期保值的外汇远期和利率互换</t>
  </si>
  <si>
    <t>3.1境内权益类投资资产</t>
  </si>
  <si>
    <t>其他固定收益类金融产品</t>
  </si>
  <si>
    <t>14|房地产</t>
  </si>
  <si>
    <t>现金</t>
  </si>
  <si>
    <t>国有商业银行</t>
  </si>
  <si>
    <t>政策性银行发行的金融债券</t>
  </si>
  <si>
    <t>沪深主板</t>
  </si>
  <si>
    <t>大额存单</t>
  </si>
  <si>
    <t>应收利息</t>
  </si>
  <si>
    <t>3.2境外权益类投资资产</t>
  </si>
  <si>
    <t>含保证条款的权益类资产</t>
  </si>
  <si>
    <t>15|商贸零售</t>
  </si>
  <si>
    <t>回售</t>
  </si>
  <si>
    <t>股份制商业银行</t>
  </si>
  <si>
    <t>政府支持性机构债券</t>
  </si>
  <si>
    <t>创业板股、科创板股</t>
  </si>
  <si>
    <t>同业存单</t>
  </si>
  <si>
    <t>对企业或个人的债权资产</t>
  </si>
  <si>
    <t>4.1境内投资性房地产</t>
  </si>
  <si>
    <t>16|社会服务</t>
  </si>
  <si>
    <t>赎回</t>
  </si>
  <si>
    <t>邮政储蓄银行</t>
  </si>
  <si>
    <t>企业债、公司债</t>
  </si>
  <si>
    <t>权益类信托计划</t>
  </si>
  <si>
    <t>4.2境外投资性房地产</t>
  </si>
  <si>
    <t>17|综合</t>
  </si>
  <si>
    <t>提前偿还</t>
  </si>
  <si>
    <t>城市商业银行</t>
  </si>
  <si>
    <t>金融企业债务融资工具</t>
  </si>
  <si>
    <t>组合类保险资产管理产品</t>
  </si>
  <si>
    <t>表1-2-4五级分类/Form1-2-4FiveLevels</t>
  </si>
  <si>
    <t>18|建筑材料</t>
  </si>
  <si>
    <t>调整票面利率</t>
  </si>
  <si>
    <t>国际信用评级在A级及以上的外资商业银行</t>
  </si>
  <si>
    <t>其他债券类资产</t>
  </si>
  <si>
    <t>商业银行理财产品种类</t>
  </si>
  <si>
    <t>股权投资计划</t>
  </si>
  <si>
    <t>ALM三级分类（寿险）/ALMClassificationLevel3</t>
  </si>
  <si>
    <t>正常类</t>
  </si>
  <si>
    <t>19|建筑装饰</t>
  </si>
  <si>
    <t>提前偿还，调整票面利率</t>
  </si>
  <si>
    <t>其他境内商业银行</t>
  </si>
  <si>
    <t>股权投资基金</t>
  </si>
  <si>
    <t>2.1.1传统固定收益类投资资产</t>
  </si>
  <si>
    <t>关注类</t>
  </si>
  <si>
    <t>20|电力设备</t>
  </si>
  <si>
    <t>贴现</t>
  </si>
  <si>
    <t>境外银行</t>
  </si>
  <si>
    <t>债转股投资计划</t>
  </si>
  <si>
    <t>2.1.2非标准固定收益类投资资产</t>
  </si>
  <si>
    <t>次级类</t>
  </si>
  <si>
    <t>21|国防军工</t>
  </si>
  <si>
    <t>赎回，回售</t>
  </si>
  <si>
    <t>其他存款机构</t>
  </si>
  <si>
    <t>混合类、商品及金融衍生品类</t>
  </si>
  <si>
    <t>商业银行理财产品</t>
  </si>
  <si>
    <t>2.1.3其他固定收益类金融产品</t>
  </si>
  <si>
    <t>可疑类</t>
  </si>
  <si>
    <t>22|计算机</t>
  </si>
  <si>
    <t>调整票面利率，提前偿还</t>
  </si>
  <si>
    <t>政策性银行</t>
  </si>
  <si>
    <t>特殊目的载体SPV</t>
  </si>
  <si>
    <t>2.1.4含保证条款的权益类投资资产及属于权益工具投资的企业（公司）债券</t>
  </si>
  <si>
    <t>损失类</t>
  </si>
  <si>
    <t>23|传媒</t>
  </si>
  <si>
    <t>回售，赎回</t>
  </si>
  <si>
    <t>银行</t>
  </si>
  <si>
    <t>境外固定收益类基础资产</t>
  </si>
  <si>
    <t>3.1.1上市普通股票</t>
  </si>
  <si>
    <t>24|通信</t>
  </si>
  <si>
    <t>企业集团财务公司</t>
  </si>
  <si>
    <t>境外权益类基础资产</t>
  </si>
  <si>
    <t>3.1.2证券投资基金（不含货币市场基金、债券型基金）</t>
  </si>
  <si>
    <t>表1-2-4资产类型/Form1-2-4AssetType</t>
  </si>
  <si>
    <t>25|银行</t>
  </si>
  <si>
    <t>农村商业银行</t>
  </si>
  <si>
    <t>汇率风险所涉项目明细表</t>
  </si>
  <si>
    <t>3.1.3优先股权权益融资工具</t>
  </si>
  <si>
    <t>股权-有公允价格</t>
  </si>
  <si>
    <t>26|非银金融</t>
  </si>
  <si>
    <t>固定收益类信托计划</t>
  </si>
  <si>
    <t>3.1.4可转债</t>
  </si>
  <si>
    <t>股权-无公允价格</t>
  </si>
  <si>
    <t>27|汽车</t>
  </si>
  <si>
    <t>信用评级</t>
  </si>
  <si>
    <t>发行机构</t>
  </si>
  <si>
    <t>机构类型</t>
  </si>
  <si>
    <t>资本充足率</t>
  </si>
  <si>
    <t>债权投资计划</t>
  </si>
  <si>
    <t>3.1.5未上市企业股权</t>
  </si>
  <si>
    <t>股权金融产品</t>
  </si>
  <si>
    <t>28|机械设备</t>
  </si>
  <si>
    <t>免评级</t>
  </si>
  <si>
    <t>保险类子公司及与保险主业相关的养老、医疗、汽车服务等子公司</t>
  </si>
  <si>
    <t>14.5%或以上</t>
  </si>
  <si>
    <t>资产支持计划</t>
  </si>
  <si>
    <t>3.1.6不含保证条款的权益类和混合类保险资产管理产品</t>
  </si>
  <si>
    <t>债券</t>
  </si>
  <si>
    <t>29|Energy</t>
  </si>
  <si>
    <t>AAA</t>
  </si>
  <si>
    <t>上市公司</t>
  </si>
  <si>
    <t>13.5%或以上</t>
  </si>
  <si>
    <t>3.1.7不含保证条款的股权投资计划、私募股权投资基金</t>
  </si>
  <si>
    <t>基础设施及不动产债权投资计划</t>
  </si>
  <si>
    <t>30|Materials</t>
  </si>
  <si>
    <t>AA</t>
  </si>
  <si>
    <t>股份制银行</t>
  </si>
  <si>
    <t>非上市公司</t>
  </si>
  <si>
    <t>12%或以上</t>
  </si>
  <si>
    <t>会计分类(监管报表以现有会计准则为准)</t>
  </si>
  <si>
    <t>3.1.8权益类信托计划</t>
  </si>
  <si>
    <t>其他</t>
  </si>
  <si>
    <t>31|Industrials</t>
  </si>
  <si>
    <t>A</t>
  </si>
  <si>
    <t>[13.5%, 14.5%)</t>
  </si>
  <si>
    <t>3.1.9债转股投资计划</t>
  </si>
  <si>
    <t>不动产类</t>
  </si>
  <si>
    <t>32|ConsumerDiscretionary</t>
  </si>
  <si>
    <t>BBB</t>
  </si>
  <si>
    <t>其他商业银行</t>
  </si>
  <si>
    <t>[12.5%, 13.5%)</t>
  </si>
  <si>
    <t>HTM</t>
  </si>
  <si>
    <t>3.1.10其他权益类资产</t>
  </si>
  <si>
    <t>33|ConsumerStaples</t>
  </si>
  <si>
    <t>BBB以下</t>
  </si>
  <si>
    <t>金融资产管理公司</t>
  </si>
  <si>
    <t>[12.0%, 12.5%)</t>
  </si>
  <si>
    <t>Trading</t>
  </si>
  <si>
    <t>3.2.1普通股</t>
  </si>
  <si>
    <t>34|HealthCare</t>
  </si>
  <si>
    <t>无评级</t>
  </si>
  <si>
    <t>保险公司</t>
  </si>
  <si>
    <t>13.5%及以下</t>
  </si>
  <si>
    <t>LR</t>
  </si>
  <si>
    <t>3.2.2证券投资基金（不含货币市场基金、债券型基金）</t>
  </si>
  <si>
    <t>35|Financials</t>
  </si>
  <si>
    <t>AA+</t>
  </si>
  <si>
    <t>非金融机构</t>
  </si>
  <si>
    <t>12.5%及以下</t>
  </si>
  <si>
    <t>DEPO</t>
  </si>
  <si>
    <t>3.2.3优先股权益融资工具</t>
  </si>
  <si>
    <t>36|InformationTechnology</t>
  </si>
  <si>
    <t>AA-</t>
  </si>
  <si>
    <t>12%以下</t>
  </si>
  <si>
    <t>LTEC</t>
  </si>
  <si>
    <t>3.2.4可转债</t>
  </si>
  <si>
    <t>37|TelecommunicationServices</t>
  </si>
  <si>
    <t>A+</t>
  </si>
  <si>
    <t>LTEE</t>
  </si>
  <si>
    <t>3.2.5全球存托凭证、美国存托凭证</t>
  </si>
  <si>
    <t>38|Utilities</t>
  </si>
  <si>
    <t>A-</t>
  </si>
  <si>
    <t>AMC</t>
  </si>
  <si>
    <t>3.2.6房地产信托投资基金（REITs）</t>
  </si>
  <si>
    <t>39|RealEstate</t>
  </si>
  <si>
    <t>BBB+</t>
  </si>
  <si>
    <t>FVOCI</t>
  </si>
  <si>
    <t>3.2.7未上市企业股权</t>
  </si>
  <si>
    <t>40|不适用</t>
  </si>
  <si>
    <t>BBB-</t>
  </si>
  <si>
    <t>FVPL</t>
  </si>
  <si>
    <t>3.2.8股权投资基金</t>
  </si>
  <si>
    <t>41|美容护理</t>
  </si>
  <si>
    <t>3.2.9其他权益类资产</t>
  </si>
  <si>
    <t>42|石油石化</t>
  </si>
  <si>
    <t>43|环保</t>
  </si>
  <si>
    <t>持有形式</t>
  </si>
  <si>
    <t>资产风险分类等级</t>
  </si>
  <si>
    <t>套期有效性判断</t>
  </si>
  <si>
    <t>套保种类</t>
  </si>
  <si>
    <t>ALM四级分类（寿险）/ALMClassificationLevel4</t>
  </si>
  <si>
    <t>项目公司融资借款</t>
  </si>
  <si>
    <t>符合套期有效性要求且期限不低于1个月</t>
  </si>
  <si>
    <t>多头</t>
  </si>
  <si>
    <t>2.1.2.1固定收益类保险资产管理产品</t>
  </si>
  <si>
    <t>物权</t>
  </si>
  <si>
    <t>符合套期有效性要求且期限低于1个月</t>
  </si>
  <si>
    <t>空头</t>
  </si>
  <si>
    <t>2.1.2.2另类保险资产管理产品</t>
  </si>
  <si>
    <t>项目公司股权</t>
  </si>
  <si>
    <t>不符合套期有效性要求</t>
  </si>
  <si>
    <t>2.1.2.3项目资产支持计划</t>
  </si>
  <si>
    <t>境外房地产信托投资基金（公募）</t>
  </si>
  <si>
    <t>2.1.2.4基础设施债权投资计划</t>
  </si>
  <si>
    <t>2.1.2.5不动产债权投资计划</t>
  </si>
  <si>
    <t>2.1.2.6其他产品</t>
  </si>
  <si>
    <t>汇率套期保值</t>
  </si>
  <si>
    <t>穿透标识</t>
  </si>
  <si>
    <t>基础资产种类</t>
  </si>
  <si>
    <t>不使用</t>
  </si>
  <si>
    <t>豁免穿透</t>
  </si>
  <si>
    <t>债权类资产</t>
  </si>
  <si>
    <t>ALM五级分类（寿险）/ALMClassificationLevel5</t>
  </si>
  <si>
    <t>使用但符合</t>
  </si>
  <si>
    <t>无法穿透</t>
  </si>
  <si>
    <t>其中：剩余期限不超过1年的政府债券、准政府债券</t>
  </si>
  <si>
    <t>使用但不符合</t>
  </si>
  <si>
    <t>可以穿透</t>
  </si>
  <si>
    <t>其中：债券型基金</t>
  </si>
  <si>
    <t>表层资产</t>
  </si>
  <si>
    <t>其中：融资类信托计划</t>
  </si>
  <si>
    <t>底层资产</t>
  </si>
  <si>
    <t>其中：优先股债务融资工具</t>
  </si>
  <si>
    <t>其中：基础资产为投资性房地产的含保证条款的权益投资资产</t>
  </si>
  <si>
    <t>其中：基础资产为基础设施的含保证条款的权益投资资产</t>
  </si>
  <si>
    <t>其中：剩余期限不超过1年的政府债券、国际金融组织债券、公司债券</t>
  </si>
  <si>
    <t>其中：不具有银行保本承诺的结构性存款</t>
  </si>
  <si>
    <t>其中：境内直接投资股权和间接投资股权形成的长期股权投资</t>
  </si>
  <si>
    <t>其中：以自有资金对保险类企业的股权投资</t>
  </si>
  <si>
    <t>其中：基础资产为投资性房地产的不含保证条款的股权投资计划、私募股权投资基金</t>
  </si>
  <si>
    <t>其中：基础资产为基础设施的不含保证条款的股权投资计划、私募股权投资基金</t>
  </si>
  <si>
    <t>其中：基础资产为投资性房地产的权益类信托计划</t>
  </si>
  <si>
    <t>其中：基础资产为投资性房地产的其他权益类资产</t>
  </si>
  <si>
    <t>其中：境外直接投资股权和间接投资股权形成的长期股权投资</t>
  </si>
  <si>
    <t>另：卖出回购证券</t>
  </si>
  <si>
    <t>其中：保户质押贷款</t>
  </si>
  <si>
    <t>其中：向不动产项目公司提供的股东借款</t>
  </si>
  <si>
    <t>其中：投资于权益类资产比例不低于80%的债转股投资计划</t>
  </si>
  <si>
    <t>其中：境内直接投资股权和间接投资股权形成的长期股权投资/其中：以自有资金对保险类企业的股权投资</t>
  </si>
  <si>
    <t>其中：境外直接投资股权和间接投资股权形成的长期股权投资/其中：以自有资金对保险类企业的股权投资</t>
  </si>
  <si>
    <t>其中：基础资产为投资性房地产的不含保证条款的股权投资计划、私募股权投资基金/其中：境内直接投资股权和间接投资股权形成的长期股权投资</t>
  </si>
</sst>
</file>

<file path=xl/styles.xml><?xml version="1.0" encoding="utf-8"?>
<styleSheet xmlns="http://schemas.openxmlformats.org/spreadsheetml/2006/main">
  <numFmts count="12">
    <numFmt numFmtId="300" formatCode="_ * #,##0.00_ ;_ * \-#,##0.00_ ;_ * &quot;-&quot;??_ ;_ @_ "/>
    <numFmt numFmtId="301" formatCode="_(* #,##0_);_(* \(#,##0\);_(* &quot;-&quot;??_);_(@_)"/>
    <numFmt numFmtId="302" formatCode="0.000%"/>
    <numFmt numFmtId="303" formatCode="0.0%"/>
    <numFmt numFmtId="304" formatCode="#,##0.00_ "/>
    <numFmt numFmtId="305" formatCode="0_);[Red]\(0\)"/>
    <numFmt numFmtId="306" formatCode="0.0000%"/>
    <numFmt numFmtId="307" formatCode="General"/>
    <numFmt numFmtId="308" formatCode="yyyy/m/d"/>
    <numFmt numFmtId="309" formatCode="0%"/>
    <numFmt numFmtId="310" formatCode="_-* #,##0.00_-;\-* #,##0.00_-;_-* &quot;-&quot;??_-;_-@_-"/>
    <numFmt numFmtId="311" formatCode="_(* #,##0.00_);_(* \(#,##0.00\);_(* &quot;-&quot;??_);_(@_)"/>
  </numFmts>
  <fonts count="21">
    <font>
      <name val="等线"/>
      <charset val="134"/>
      <color theme="1"/>
      <sz val="11"/>
      <scheme val="minor"/>
    </font>
    <font>
      <name val="等线"/>
      <charset val="134"/>
      <color rgb="FF175CEB"/>
      <sz val="10"/>
      <u/>
      <scheme val="minor"/>
    </font>
    <font>
      <name val="Segoe UI Symbol"/>
      <family val="2"/>
      <color rgb="FF000000"/>
      <sz val="10"/>
    </font>
    <font>
      <name val="等线"/>
      <charset val="134"/>
      <family val="3"/>
      <b val="1"/>
      <color theme="1"/>
      <sz val="11"/>
      <scheme val="minor"/>
    </font>
    <font>
      <name val="等线"/>
      <charset val="134"/>
      <family val="3"/>
      <b val="1"/>
      <sz val="11"/>
      <scheme val="minor"/>
    </font>
    <font>
      <name val="等线"/>
      <charset val="134"/>
      <color theme="1"/>
      <sz val="11"/>
      <scheme val="minor"/>
    </font>
    <font>
      <name val="等线"/>
      <charset val="134"/>
      <family val="3"/>
      <sz val="11"/>
      <scheme val="minor"/>
    </font>
    <font>
      <name val="等线"/>
      <charset val="134"/>
      <family val="3"/>
      <color rgb="FFFF0000"/>
      <sz val="11"/>
      <scheme val="minor"/>
    </font>
    <font>
      <name val="等线"/>
      <charset val="134"/>
      <family val="3"/>
      <color theme="1"/>
      <sz val="11"/>
      <scheme val="minor"/>
    </font>
    <font/>
    <font>
      <name val="等线"/>
      <charset val="134"/>
      <family val="3"/>
      <b val="1"/>
      <color rgb="FF00B050"/>
      <sz val="11"/>
      <scheme val="minor"/>
    </font>
    <font>
      <name val="等线"/>
      <charset val="134"/>
      <family val="3"/>
      <b val="1"/>
      <color theme="5"/>
      <sz val="11"/>
      <scheme val="minor"/>
    </font>
    <font>
      <name val="Microsoft YaHei Light"/>
      <charset val="134"/>
      <family val="2"/>
      <b val="1"/>
      <color theme="1"/>
      <sz val="10"/>
    </font>
    <font>
      <name val="Microsoft YaHei Light"/>
      <charset val="134"/>
      <family val="2"/>
      <color theme="1"/>
      <sz val="10"/>
    </font>
    <font>
      <name val="微软雅黑"/>
      <charset val="134"/>
      <family val="2"/>
      <b val="1"/>
      <color theme="1"/>
      <sz val="10"/>
    </font>
    <font>
      <name val="微软雅黑"/>
      <charset val="134"/>
      <family val="2"/>
      <color theme="1"/>
      <sz val="10"/>
    </font>
    <font>
      <name val="宋体"/>
      <charset val="134"/>
      <family val="3"/>
      <b val="1"/>
      <color theme="1"/>
      <sz val="10"/>
    </font>
    <font>
      <name val="宋体"/>
      <charset val="134"/>
      <family val="3"/>
      <color theme="1"/>
      <sz val="10"/>
    </font>
    <font>
      <name val="Franklin Gothic Book"/>
      <family val="2"/>
      <color theme="1"/>
      <sz val="10"/>
    </font>
    <font>
      <name val="宋体"/>
      <charset val="134"/>
      <family val="3"/>
      <sz val="12"/>
      <u/>
    </font>
    <font>
      <name val="宋体"/>
      <charset val="134"/>
      <family val="3"/>
      <sz val="12"/>
    </font>
  </fonts>
  <fills count="89">
    <fill>
      <patternFill patternType="none"/>
    </fill>
    <fill>
      <patternFill patternType="gray125"/>
    </fill>
    <fill>
      <patternFill patternType="solid">
        <fgColor theme="0" tint="-0.149937"/>
        <bgColor indexed="64"/>
      </patternFill>
    </fill>
    <fill>
      <patternFill patternType="solid">
        <fgColor theme="8" tint="0.799982"/>
        <bgColor indexed="64"/>
      </patternFill>
    </fill>
    <fill>
      <patternFill patternType="solid">
        <fgColor theme="7" tint="0.799982"/>
        <bgColor indexed="64"/>
      </patternFill>
    </fill>
    <fill>
      <patternFill patternType="solid">
        <bgColor rgb="FF89C97D"/>
      </patternFill>
    </fill>
    <fill>
      <patternFill patternType="solid">
        <fgColor rgb="FFFFFF00"/>
        <bgColor indexed="64"/>
      </patternFill>
    </fill>
    <fill>
      <patternFill patternType="solid">
        <fgColor theme="9" tint="0.599994"/>
        <bgColor indexed="64"/>
      </patternFill>
    </fill>
    <fill>
      <patternFill patternType="solid">
        <fgColor theme="4" tint="0.399976"/>
        <bgColor indexed="64"/>
      </patternFill>
    </fill>
    <fill>
      <patternFill patternType="solid">
        <bgColor rgb="FFB5D57F"/>
      </patternFill>
    </fill>
    <fill>
      <patternFill patternType="solid">
        <fgColor theme="7" tint="0.799921"/>
        <bgColor indexed="64"/>
      </patternFill>
    </fill>
    <fill>
      <patternFill patternType="solid">
        <bgColor rgb="FFFEDE81"/>
      </patternFill>
    </fill>
    <fill>
      <patternFill patternType="solid">
        <bgColor rgb="FFFA9473"/>
      </patternFill>
    </fill>
    <fill>
      <patternFill patternType="solid">
        <bgColor rgb="FFF8696B"/>
      </patternFill>
    </fill>
    <fill>
      <patternFill patternType="solid">
        <bgColor rgb="FFFDC67D"/>
      </patternFill>
    </fill>
    <fill>
      <patternFill patternType="solid">
        <bgColor rgb="FFA2D07E"/>
      </patternFill>
    </fill>
    <fill>
      <patternFill patternType="solid">
        <bgColor rgb="FFFEDA80"/>
      </patternFill>
    </fill>
    <fill>
      <patternFill patternType="solid">
        <fgColor theme="9" tint="0.399976"/>
        <bgColor indexed="64"/>
      </patternFill>
    </fill>
    <fill>
      <patternFill patternType="solid">
        <bgColor rgb="FFFEE182"/>
      </patternFill>
    </fill>
    <fill>
      <patternFill patternType="solid">
        <bgColor rgb="FFFEE883"/>
      </patternFill>
    </fill>
    <fill>
      <patternFill patternType="solid">
        <fgColor theme="7"/>
        <bgColor indexed="64"/>
      </patternFill>
    </fill>
    <fill>
      <patternFill patternType="solid">
        <bgColor rgb="FF63BE7B"/>
      </patternFill>
    </fill>
    <fill>
      <patternFill patternType="solid">
        <bgColor rgb="FF86C87D"/>
      </patternFill>
    </fill>
    <fill>
      <patternFill patternType="solid">
        <bgColor rgb="FF95CC7D"/>
      </patternFill>
    </fill>
    <fill>
      <patternFill patternType="solid">
        <bgColor rgb="FFFEE382"/>
      </patternFill>
    </fill>
    <fill>
      <patternFill patternType="solid">
        <bgColor rgb="FFD4DE81"/>
      </patternFill>
    </fill>
    <fill>
      <patternFill patternType="solid">
        <bgColor rgb="FFA5D17E"/>
      </patternFill>
    </fill>
    <fill>
      <patternFill patternType="solid">
        <bgColor rgb="FFFBB078"/>
      </patternFill>
    </fill>
    <fill>
      <patternFill patternType="solid">
        <bgColor rgb="FFFEDF81"/>
      </patternFill>
    </fill>
    <fill>
      <patternFill patternType="solid">
        <bgColor rgb="FFFBA175"/>
      </patternFill>
    </fill>
    <fill>
      <patternFill patternType="solid">
        <bgColor rgb="FFFDD680"/>
      </patternFill>
    </fill>
    <fill>
      <patternFill patternType="solid">
        <bgColor rgb="FFFBB279"/>
      </patternFill>
    </fill>
    <fill>
      <patternFill patternType="solid">
        <bgColor rgb="FF6AC07B"/>
      </patternFill>
    </fill>
    <fill>
      <patternFill patternType="solid">
        <bgColor rgb="FF80C67C"/>
      </patternFill>
    </fill>
    <fill>
      <patternFill patternType="solid">
        <bgColor rgb="FFFEE783"/>
      </patternFill>
    </fill>
    <fill>
      <patternFill patternType="solid">
        <bgColor rgb="FF64BE7B"/>
      </patternFill>
    </fill>
    <fill>
      <patternFill patternType="solid">
        <bgColor rgb="FF83C77C"/>
      </patternFill>
    </fill>
    <fill>
      <patternFill patternType="solid">
        <bgColor rgb="FFFEE983"/>
      </patternFill>
    </fill>
    <fill>
      <patternFill patternType="solid">
        <bgColor rgb="FFB6D67F"/>
      </patternFill>
    </fill>
    <fill>
      <patternFill patternType="solid">
        <bgColor rgb="FF90CB7D"/>
      </patternFill>
    </fill>
    <fill>
      <patternFill patternType="solid">
        <bgColor rgb="FFFEE582"/>
      </patternFill>
    </fill>
    <fill>
      <patternFill patternType="solid">
        <bgColor rgb="FFFEEA83"/>
      </patternFill>
    </fill>
    <fill>
      <patternFill patternType="solid">
        <bgColor rgb="FFFDD880"/>
      </patternFill>
    </fill>
    <fill>
      <patternFill patternType="solid">
        <bgColor rgb="FFFEE683"/>
      </patternFill>
    </fill>
    <fill>
      <patternFill patternType="solid">
        <bgColor rgb="FFFCC47C"/>
      </patternFill>
    </fill>
    <fill>
      <patternFill patternType="solid">
        <bgColor rgb="FFFDCC7E"/>
      </patternFill>
    </fill>
    <fill>
      <patternFill patternType="solid">
        <bgColor rgb="FFFDC67C"/>
      </patternFill>
    </fill>
    <fill>
      <patternFill patternType="solid">
        <bgColor rgb="FFFEE081"/>
      </patternFill>
    </fill>
    <fill>
      <patternFill patternType="solid">
        <bgColor rgb="FFFDD37F"/>
      </patternFill>
    </fill>
    <fill>
      <patternFill patternType="solid">
        <bgColor rgb="FFF6E883"/>
      </patternFill>
    </fill>
    <fill>
      <patternFill patternType="solid">
        <bgColor rgb="FFFEE583"/>
      </patternFill>
    </fill>
    <fill>
      <patternFill patternType="solid">
        <bgColor rgb="FFFDD27F"/>
      </patternFill>
    </fill>
    <fill>
      <patternFill patternType="solid">
        <bgColor rgb="FFBCD780"/>
      </patternFill>
    </fill>
    <fill>
      <patternFill patternType="solid">
        <bgColor rgb="FF9CCE7E"/>
      </patternFill>
    </fill>
    <fill>
      <patternFill patternType="solid">
        <bgColor rgb="FF6BC07B"/>
      </patternFill>
    </fill>
    <fill>
      <patternFill patternType="solid">
        <bgColor rgb="FF66BF7B"/>
      </patternFill>
    </fill>
    <fill>
      <patternFill patternType="solid">
        <bgColor rgb="FF65BE7B"/>
      </patternFill>
    </fill>
    <fill>
      <patternFill patternType="solid">
        <bgColor rgb="FFFCB97A"/>
      </patternFill>
    </fill>
    <fill>
      <patternFill patternType="solid">
        <bgColor rgb="FFFCB479"/>
      </patternFill>
    </fill>
    <fill>
      <patternFill patternType="solid">
        <bgColor rgb="FFFCC17B"/>
      </patternFill>
    </fill>
    <fill>
      <patternFill patternType="solid">
        <bgColor rgb="FFFA9373"/>
      </patternFill>
    </fill>
    <fill>
      <patternFill patternType="solid">
        <bgColor rgb="FFFCC37C"/>
      </patternFill>
    </fill>
    <fill>
      <patternFill patternType="solid">
        <bgColor rgb="FFFDCF7E"/>
      </patternFill>
    </fill>
    <fill>
      <patternFill patternType="solid">
        <bgColor rgb="FFFDD57F"/>
      </patternFill>
    </fill>
    <fill>
      <patternFill patternType="solid">
        <bgColor rgb="FFC1D980"/>
      </patternFill>
    </fill>
    <fill>
      <patternFill patternType="solid">
        <bgColor rgb="FFFEE482"/>
      </patternFill>
    </fill>
    <fill>
      <patternFill patternType="solid">
        <bgColor rgb="FFE7E482"/>
      </patternFill>
    </fill>
    <fill>
      <patternFill patternType="solid">
        <bgColor rgb="FFFBAF78"/>
      </patternFill>
    </fill>
    <fill>
      <patternFill patternType="solid">
        <bgColor rgb="FFFBA877"/>
      </patternFill>
    </fill>
    <fill>
      <patternFill patternType="solid">
        <bgColor rgb="FFF98770"/>
      </patternFill>
    </fill>
    <fill>
      <patternFill patternType="solid">
        <bgColor rgb="FF92CB7D"/>
      </patternFill>
    </fill>
    <fill>
      <patternFill patternType="solid">
        <bgColor rgb="FFFA9272"/>
      </patternFill>
    </fill>
    <fill>
      <patternFill patternType="solid">
        <bgColor rgb="FFFA9273"/>
      </patternFill>
    </fill>
    <fill>
      <patternFill patternType="solid">
        <bgColor rgb="FFFBB178"/>
      </patternFill>
    </fill>
    <fill>
      <patternFill patternType="solid">
        <bgColor rgb="FFAED37F"/>
      </patternFill>
    </fill>
    <fill>
      <patternFill patternType="solid">
        <bgColor rgb="FFFEE282"/>
      </patternFill>
    </fill>
    <fill>
      <patternFill patternType="solid">
        <bgColor rgb="FF7BC47C"/>
      </patternFill>
    </fill>
    <fill>
      <patternFill patternType="solid">
        <bgColor rgb="FF77C37C"/>
      </patternFill>
    </fill>
    <fill>
      <patternFill patternType="solid">
        <bgColor rgb="FFFEDD81"/>
      </patternFill>
    </fill>
    <fill>
      <patternFill patternType="solid">
        <bgColor rgb="FF9FCF7E"/>
      </patternFill>
    </fill>
    <fill>
      <patternFill patternType="solid">
        <bgColor rgb="FFF4E883"/>
      </patternFill>
    </fill>
    <fill>
      <patternFill patternType="solid">
        <bgColor rgb="FFCADB80"/>
      </patternFill>
    </fill>
    <fill>
      <patternFill patternType="solid">
        <bgColor rgb="FFEBE582"/>
      </patternFill>
    </fill>
    <fill>
      <patternFill patternType="solid">
        <bgColor rgb="FFABD27F"/>
      </patternFill>
    </fill>
    <fill>
      <patternFill patternType="solid">
        <bgColor rgb="FFA8D17E"/>
      </patternFill>
    </fill>
    <fill>
      <patternFill patternType="solid">
        <bgColor rgb="FFCDDC81"/>
      </patternFill>
    </fill>
    <fill>
      <patternFill patternType="none"/>
    </fill>
    <fill>
      <patternFill patternType="solid">
        <fgColor theme="6" tint="0.799921"/>
        <bgColor indexed="64"/>
      </patternFill>
    </fill>
    <fill>
      <patternFill patternType="solid">
        <fgColor indexed="26"/>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diagonal/>
    </border>
  </borders>
  <cellStyleXfs>
    <xf numFmtId="307" fontId="5" fillId="0" borderId="6" xfId="0">
      <alignment vertical="center"/>
    </xf>
    <xf numFmtId="307" fontId="8" fillId="86" borderId="6" xfId="0">
      <alignment vertical="center"/>
    </xf>
    <xf numFmtId="300" fontId="8" fillId="86" borderId="6" xfId="0" applyFont="0" applyFill="0" applyBorder="0" applyAlignment="0" applyProtection="0">
      <alignment vertical="center"/>
    </xf>
    <xf numFmtId="307" fontId="8" fillId="86" borderId="6" xfId="0"/>
    <xf numFmtId="307" fontId="8" fillId="86" borderId="6" xfId="0">
      <alignment vertical="center"/>
    </xf>
    <xf numFmtId="307" fontId="8" fillId="86" borderId="6" xfId="0">
      <alignment vertical="center"/>
    </xf>
    <xf numFmtId="309" fontId="18" fillId="86" borderId="6" xfId="0" applyFont="0" applyFill="0" applyBorder="0" applyAlignment="0" applyProtection="0"/>
    <xf numFmtId="307" fontId="8" fillId="86" borderId="6" xfId="0">
      <alignment vertical="center"/>
    </xf>
    <xf numFmtId="309" fontId="8" fillId="86" borderId="6" xfId="0" applyFont="0" applyFill="0" applyBorder="0" applyAlignment="0" applyProtection="0">
      <alignment vertical="center"/>
    </xf>
    <xf numFmtId="307" fontId="8" fillId="86" borderId="6" xfId="0"/>
    <xf numFmtId="300" fontId="8" fillId="86" borderId="6" xfId="0" applyFont="0" applyFill="0" applyBorder="0" applyAlignment="0" applyProtection="0">
      <alignment vertical="center"/>
    </xf>
    <xf numFmtId="300" fontId="8" fillId="86" borderId="6" xfId="0" applyFont="0" applyFill="0" applyBorder="0" applyAlignment="0" applyProtection="0">
      <alignment vertical="center"/>
    </xf>
    <xf numFmtId="300" fontId="8" fillId="86" borderId="6" xfId="0" applyFont="0" applyFill="0" applyBorder="0" applyAlignment="0" applyProtection="0">
      <alignment vertical="center"/>
    </xf>
    <xf numFmtId="310" fontId="18" fillId="86" borderId="6" xfId="0" applyFont="0" applyFill="0" applyBorder="0" applyAlignment="0" applyProtection="0"/>
    <xf numFmtId="300" fontId="8" fillId="86" borderId="6" xfId="0" applyFont="0" applyFill="0" applyBorder="0" applyAlignment="0" applyProtection="0">
      <alignment vertical="center"/>
    </xf>
    <xf numFmtId="307" fontId="8" fillId="86" borderId="6" xfId="0">
      <alignment vertical="center"/>
    </xf>
    <xf numFmtId="307" fontId="8" fillId="86" borderId="6" xfId="0"/>
    <xf numFmtId="307" fontId="8" fillId="86" borderId="6" xfId="0"/>
    <xf numFmtId="307" fontId="19" fillId="88" borderId="6" xfId="0" applyNumberFormat="0" applyFont="0" applyAlignment="0" applyProtection="0">
      <alignment vertical="center"/>
    </xf>
    <xf numFmtId="307" fontId="8" fillId="86" borderId="6" xfId="0">
      <alignment vertical="center"/>
    </xf>
    <xf numFmtId="307" fontId="18" fillId="86" borderId="6" xfId="0"/>
    <xf numFmtId="307" fontId="17" fillId="86" borderId="6" xfId="0">
      <alignment vertical="center"/>
    </xf>
    <xf numFmtId="307" fontId="8" fillId="86" borderId="6" xfId="0">
      <alignment vertical="center"/>
    </xf>
    <xf numFmtId="309" fontId="20" fillId="86" borderId="6" xfId="0" applyFont="0" applyFill="0" applyBorder="0" applyAlignment="0" applyProtection="0">
      <alignment vertical="center"/>
    </xf>
    <xf numFmtId="309" fontId="8" fillId="86" borderId="6" xfId="0" applyFont="0" applyFill="0" applyBorder="0" applyAlignment="0" applyProtection="0">
      <alignment vertical="center"/>
    </xf>
    <xf numFmtId="307" fontId="8" fillId="86" borderId="6" xfId="0">
      <alignment vertical="center"/>
    </xf>
    <xf numFmtId="311" fontId="8" fillId="86" borderId="6" xfId="0" applyFont="0" applyFill="0" applyBorder="0" applyAlignment="0" applyProtection="0">
      <alignment vertical="center"/>
    </xf>
    <xf numFmtId="309" fontId="8" fillId="86" borderId="6" xfId="0" applyFont="0" applyFill="0" applyBorder="0" applyAlignment="0" applyProtection="0">
      <alignment vertical="center"/>
    </xf>
    <xf numFmtId="307" fontId="8" fillId="86" borderId="6" xfId="0">
      <alignment vertical="center"/>
    </xf>
    <xf numFmtId="309" fontId="8" fillId="86" borderId="6" xfId="0" applyFont="0" applyFill="0" applyBorder="0" applyAlignment="0" applyProtection="0">
      <alignment vertical="center"/>
    </xf>
  </cellStyleXfs>
  <cellXfs count="15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14" fontId="5" fillId="0" borderId="6" xfId="0" applyNumberFormat="1">
      <alignment vertical="center"/>
    </xf>
    <xf numFmtId="307" fontId="3" fillId="2" borderId="1" xfId="15" applyFont="1" applyFill="1" applyBorder="1">
      <alignment vertical="center"/>
    </xf>
    <xf numFmtId="307" fontId="4" fillId="2" borderId="1" xfId="15" applyFont="1" applyFill="1" applyBorder="1">
      <alignment vertical="center"/>
    </xf>
    <xf numFmtId="14" fontId="3" fillId="2" borderId="1" xfId="15" applyNumberFormat="1" applyFont="1" applyFill="1" applyBorder="1">
      <alignment vertical="center"/>
    </xf>
    <xf numFmtId="307" fontId="3" fillId="2" borderId="2" xfId="15" applyFont="1" applyFill="1" applyBorder="1">
      <alignment vertical="center"/>
    </xf>
    <xf numFmtId="307" fontId="5" fillId="0" borderId="6" xfId="0">
      <alignment vertical="center"/>
    </xf>
    <xf numFmtId="300" fontId="5" fillId="86" borderId="6" xfId="2" applyFont="1">
      <alignment vertical="center"/>
    </xf>
    <xf numFmtId="300" fontId="5" fillId="0" borderId="6" xfId="0" applyNumberFormat="1">
      <alignment vertical="center"/>
    </xf>
    <xf numFmtId="301" fontId="5" fillId="86" borderId="6" xfId="2" applyNumberFormat="1" applyFont="1">
      <alignment vertical="center"/>
    </xf>
    <xf numFmtId="10" fontId="5" fillId="86" borderId="6" xfId="24" applyNumberFormat="1" applyFont="1">
      <alignment vertical="center"/>
    </xf>
    <xf numFmtId="14" fontId="5" fillId="0" borderId="1" xfId="0" applyNumberFormat="1" applyBorder="1">
      <alignment vertical="center"/>
    </xf>
    <xf numFmtId="10" fontId="5" fillId="86" borderId="1" xfId="24" applyNumberFormat="1" applyFont="1" applyBorder="1">
      <alignment vertical="center"/>
    </xf>
    <xf numFmtId="307" fontId="8" fillId="86" borderId="1" xfId="15" applyBorder="1">
      <alignment vertical="center"/>
    </xf>
    <xf numFmtId="307" fontId="6" fillId="86" borderId="1" xfId="15" applyFont="1" applyBorder="1">
      <alignment vertical="center"/>
    </xf>
    <xf numFmtId="307" fontId="5" fillId="0" borderId="1" xfId="0" applyBorder="1">
      <alignment vertical="center"/>
    </xf>
    <xf numFmtId="307" fontId="5" fillId="0" borderId="1" xfId="0" applyBorder="1" applyAlignment="1">
      <alignment vertical="bottom"/>
    </xf>
    <xf numFmtId="309" fontId="5" fillId="86" borderId="1" xfId="27" applyFont="1" applyBorder="1">
      <alignment vertical="center"/>
    </xf>
    <xf numFmtId="309" fontId="5" fillId="86" borderId="2" xfId="27" applyFont="1" applyBorder="1">
      <alignment vertical="center"/>
    </xf>
    <xf numFmtId="307" fontId="6" fillId="0" borderId="6" xfId="0" applyFont="1">
      <alignment vertical="center"/>
    </xf>
    <xf numFmtId="300" fontId="6" fillId="86" borderId="6" xfId="2" applyFont="1">
      <alignment vertical="center"/>
    </xf>
    <xf numFmtId="14" fontId="8" fillId="86" borderId="1" xfId="15" applyNumberFormat="1" applyBorder="1">
      <alignment vertical="center"/>
    </xf>
    <xf numFmtId="14" fontId="6" fillId="86" borderId="1" xfId="15" applyNumberFormat="1" applyFont="1" applyBorder="1">
      <alignment vertical="center"/>
    </xf>
    <xf numFmtId="10" fontId="7" fillId="86" borderId="6" xfId="24" applyNumberFormat="1" applyFont="1">
      <alignment vertical="center"/>
    </xf>
    <xf numFmtId="300" fontId="5" fillId="0" borderId="1" xfId="0" applyNumberFormat="1" applyBorder="1" applyAlignment="1">
      <alignment vertical="bottom"/>
    </xf>
    <xf numFmtId="307" fontId="8" fillId="86" borderId="6" xfId="15">
      <alignment vertical="center"/>
    </xf>
    <xf numFmtId="307" fontId="5" fillId="0" borderId="6" xfId="0" applyAlignment="1">
      <alignment vertical="bottom"/>
    </xf>
    <xf numFmtId="309" fontId="5" fillId="86" borderId="6" xfId="27" applyFont="1">
      <alignment vertical="center"/>
    </xf>
    <xf numFmtId="307" fontId="8" fillId="0" borderId="6" xfId="0" applyFont="1">
      <alignment vertical="center"/>
    </xf>
    <xf numFmtId="302" fontId="5" fillId="86" borderId="6" xfId="24" applyNumberFormat="1" applyFont="1">
      <alignment vertical="center"/>
    </xf>
    <xf numFmtId="307" fontId="5" fillId="3" borderId="6" xfId="0" applyFill="1">
      <alignment vertical="center"/>
    </xf>
    <xf numFmtId="10" fontId="5" fillId="4" borderId="6" xfId="24" applyNumberFormat="1" applyFont="1" applyFill="1">
      <alignment vertical="center"/>
    </xf>
    <xf fontId="9" fillId="5" borderId="0" xfId="0">
      <alignment vertical="center"/>
    </xf>
    <xf numFmtId="10" fontId="5" fillId="6" borderId="6" xfId="24" applyNumberFormat="1" applyFont="1" applyFill="1">
      <alignment vertical="center"/>
    </xf>
    <xf numFmtId="303" fontId="5" fillId="7" borderId="6" xfId="0" applyNumberFormat="1" applyFill="1">
      <alignment vertical="center"/>
    </xf>
    <xf numFmtId="303" fontId="5" fillId="6" borderId="6" xfId="0" applyNumberFormat="1" applyFill="1">
      <alignment vertical="center"/>
    </xf>
    <xf numFmtId="10" fontId="5" fillId="8" borderId="6" xfId="24" applyNumberFormat="1" applyFont="1" applyFill="1">
      <alignment vertical="center"/>
    </xf>
    <xf numFmtId="307" fontId="5" fillId="6" borderId="6" xfId="0" applyFill="1">
      <alignment vertical="center"/>
    </xf>
    <xf fontId="9" fillId="9" borderId="0" xfId="0">
      <alignment vertical="center"/>
    </xf>
    <xf numFmtId="10" fontId="10" fillId="10" borderId="6" xfId="24" applyNumberFormat="1" applyFont="1" applyFill="1" applyAlignment="1">
      <alignment vertical="bottom"/>
    </xf>
    <xf numFmtId="10" fontId="5" fillId="0" borderId="6" xfId="0" applyNumberFormat="1">
      <alignment vertical="center"/>
    </xf>
    <xf fontId="9" fillId="11" borderId="0" xfId="0">
      <alignment vertical="center"/>
    </xf>
    <xf fontId="9" fillId="12" borderId="0" xfId="0">
      <alignment vertical="center"/>
    </xf>
    <xf fontId="9" fillId="13" borderId="0" xfId="0">
      <alignment vertical="center"/>
    </xf>
    <xf fontId="9" fillId="14" borderId="0" xfId="0">
      <alignment vertical="center"/>
    </xf>
    <xf numFmtId="10" fontId="5" fillId="8" borderId="6" xfId="0" applyNumberFormat="1" applyFill="1">
      <alignment vertical="center"/>
    </xf>
    <xf numFmtId="10" fontId="11" fillId="10" borderId="6" xfId="24" applyNumberFormat="1" applyFont="1" applyFill="1" applyAlignment="1">
      <alignment vertical="bottom"/>
    </xf>
    <xf fontId="9" fillId="15" borderId="0" xfId="0">
      <alignment vertical="center"/>
    </xf>
    <xf fontId="9" fillId="16" borderId="0" xfId="0">
      <alignment vertical="center"/>
    </xf>
    <xf numFmtId="10" fontId="5" fillId="17" borderId="6" xfId="24" applyNumberFormat="1" applyFont="1" applyFill="1">
      <alignment vertical="center"/>
    </xf>
    <xf fontId="9" fillId="18" borderId="0" xfId="0">
      <alignment vertical="center"/>
    </xf>
    <xf fontId="9" fillId="19" borderId="0" xfId="0">
      <alignment vertical="center"/>
    </xf>
    <xf numFmtId="10" fontId="5" fillId="20" borderId="6" xfId="24" applyNumberFormat="1" applyFont="1" applyFill="1">
      <alignment vertical="center"/>
    </xf>
    <xf fontId="9" fillId="21" borderId="0" xfId="0">
      <alignment vertical="center"/>
    </xf>
    <xf fontId="9" fillId="22" borderId="0" xfId="0">
      <alignment vertical="center"/>
    </xf>
    <xf fontId="9" fillId="23" borderId="0" xfId="0">
      <alignment vertical="center"/>
    </xf>
    <xf fontId="9" fillId="24" borderId="0" xfId="0">
      <alignment vertical="center"/>
    </xf>
    <xf fontId="9" fillId="25" borderId="0" xfId="0">
      <alignment vertical="center"/>
    </xf>
    <xf fontId="9" fillId="26" borderId="0" xfId="0">
      <alignment vertical="center"/>
    </xf>
    <xf fontId="9" fillId="27" borderId="0" xfId="0">
      <alignment vertical="center"/>
    </xf>
    <xf fontId="9" fillId="28" borderId="0" xfId="0">
      <alignment vertical="center"/>
    </xf>
    <xf fontId="9" fillId="29" borderId="0" xfId="0">
      <alignment vertical="center"/>
    </xf>
    <xf fontId="9" fillId="30" borderId="0" xfId="0">
      <alignment vertical="center"/>
    </xf>
    <xf fontId="9" fillId="31" borderId="0" xfId="0">
      <alignment vertical="center"/>
    </xf>
    <xf numFmtId="4" fontId="5" fillId="0" borderId="6" xfId="0" applyNumberFormat="1">
      <alignment vertical="center"/>
    </xf>
    <xf numFmtId="304" fontId="5" fillId="0" borderId="6" xfId="0" applyNumberFormat="1">
      <alignment vertical="center"/>
    </xf>
    <xf numFmtId="305" fontId="5" fillId="86" borderId="6" xfId="24" applyNumberFormat="1" applyFont="1">
      <alignment vertical="center"/>
    </xf>
    <xf numFmtId="303" fontId="5" fillId="86" borderId="6" xfId="24" applyNumberFormat="1" applyFont="1">
      <alignment vertical="center"/>
    </xf>
    <xf numFmtId="306" fontId="5" fillId="86" borderId="6" xfId="24" applyNumberFormat="1" applyFont="1">
      <alignment vertical="center"/>
    </xf>
    <xf fontId="9" fillId="32" borderId="0" xfId="0">
      <alignment vertical="center"/>
    </xf>
    <xf fontId="9" fillId="33" borderId="0" xfId="0">
      <alignment vertical="center"/>
    </xf>
    <xf fontId="9" fillId="34" borderId="0" xfId="0">
      <alignment vertical="center"/>
    </xf>
    <xf fontId="9" fillId="35" borderId="0" xfId="0">
      <alignment vertical="center"/>
    </xf>
    <xf fontId="9" fillId="36" borderId="0" xfId="0">
      <alignment vertical="center"/>
    </xf>
    <xf fontId="9" fillId="37" borderId="0" xfId="0">
      <alignment vertical="center"/>
    </xf>
    <xf fontId="9" fillId="38" borderId="0" xfId="0">
      <alignment vertical="center"/>
    </xf>
    <xf fontId="9" fillId="39" borderId="0" xfId="0">
      <alignment vertical="center"/>
    </xf>
    <xf fontId="9" fillId="40" borderId="0" xfId="0">
      <alignment vertical="center"/>
    </xf>
    <xf fontId="9" fillId="41" borderId="0" xfId="0">
      <alignment vertical="center"/>
    </xf>
    <xf fontId="9" fillId="42" borderId="0" xfId="0">
      <alignment vertical="center"/>
    </xf>
    <xf fontId="9" fillId="43" borderId="0" xfId="0">
      <alignment vertical="center"/>
    </xf>
    <xf fontId="9" fillId="44" borderId="0" xfId="0">
      <alignment vertical="center"/>
    </xf>
    <xf fontId="9" fillId="45" borderId="0" xfId="0">
      <alignment vertical="center"/>
    </xf>
    <xf fontId="9" fillId="46" borderId="0" xfId="0">
      <alignment vertical="center"/>
    </xf>
    <xf fontId="9" fillId="47" borderId="0" xfId="0">
      <alignment vertical="center"/>
    </xf>
    <xf fontId="9" fillId="48" borderId="0" xfId="0">
      <alignment vertical="center"/>
    </xf>
    <xf fontId="9" fillId="49" borderId="0" xfId="0">
      <alignment vertical="center"/>
    </xf>
    <xf fontId="9" fillId="50" borderId="0" xfId="0">
      <alignment vertical="center"/>
    </xf>
    <xf fontId="9" fillId="51" borderId="0" xfId="0">
      <alignment vertical="center"/>
    </xf>
    <xf fontId="9" fillId="52" borderId="0" xfId="0">
      <alignment vertical="center"/>
    </xf>
    <xf fontId="9" fillId="53" borderId="0" xfId="0">
      <alignment vertical="center"/>
    </xf>
    <xf fontId="9" fillId="54" borderId="0" xfId="0">
      <alignment vertical="center"/>
    </xf>
    <xf fontId="9" fillId="55" borderId="0" xfId="0">
      <alignment vertical="center"/>
    </xf>
    <xf fontId="9" fillId="56" borderId="0" xfId="0">
      <alignment vertical="center"/>
    </xf>
    <xf fontId="9" fillId="57" borderId="0" xfId="0">
      <alignment vertical="center"/>
    </xf>
    <xf fontId="9" fillId="58" borderId="0" xfId="0">
      <alignment vertical="center"/>
    </xf>
    <xf fontId="9" fillId="59" borderId="0" xfId="0">
      <alignment vertical="center"/>
    </xf>
    <xf fontId="9" fillId="60" borderId="0" xfId="0">
      <alignment vertical="center"/>
    </xf>
    <xf fontId="9" fillId="61" borderId="0" xfId="0">
      <alignment vertical="center"/>
    </xf>
    <xf fontId="9" fillId="62" borderId="0" xfId="0">
      <alignment vertical="center"/>
    </xf>
    <xf fontId="9" fillId="63" borderId="0" xfId="0">
      <alignment vertical="center"/>
    </xf>
    <xf fontId="9" fillId="64" borderId="0" xfId="0">
      <alignment vertical="center"/>
    </xf>
    <xf fontId="9" fillId="65" borderId="0" xfId="0">
      <alignment vertical="center"/>
    </xf>
    <xf fontId="9" fillId="66" borderId="0" xfId="0">
      <alignment vertical="center"/>
    </xf>
    <xf fontId="9" fillId="67" borderId="0" xfId="0">
      <alignment vertical="center"/>
    </xf>
    <xf fontId="9" fillId="68" borderId="0" xfId="0">
      <alignment vertical="center"/>
    </xf>
    <xf fontId="9" fillId="69" borderId="0" xfId="0">
      <alignment vertical="center"/>
    </xf>
    <xf fontId="9" fillId="70" borderId="0" xfId="0">
      <alignment vertical="center"/>
    </xf>
    <xf fontId="9" fillId="71" borderId="0" xfId="0">
      <alignment vertical="center"/>
    </xf>
    <xf fontId="9" fillId="72" borderId="0" xfId="0">
      <alignment vertical="center"/>
    </xf>
    <xf fontId="9" fillId="73" borderId="0" xfId="0">
      <alignment vertical="center"/>
    </xf>
    <xf fontId="9" fillId="74" borderId="0" xfId="0">
      <alignment vertical="center"/>
    </xf>
    <xf fontId="9" fillId="75" borderId="0" xfId="0">
      <alignment vertical="center"/>
    </xf>
    <xf fontId="9" fillId="76" borderId="0" xfId="0">
      <alignment vertical="center"/>
    </xf>
    <xf fontId="9" fillId="77" borderId="0" xfId="0">
      <alignment vertical="center"/>
    </xf>
    <xf fontId="9" fillId="78" borderId="0" xfId="0">
      <alignment vertical="center"/>
    </xf>
    <xf fontId="9" fillId="79" borderId="0" xfId="0">
      <alignment vertical="center"/>
    </xf>
    <xf fontId="9" fillId="80" borderId="0" xfId="0">
      <alignment vertical="center"/>
    </xf>
    <xf fontId="9" fillId="81" borderId="0" xfId="0">
      <alignment vertical="center"/>
    </xf>
    <xf fontId="9" fillId="82" borderId="0" xfId="0">
      <alignment vertical="center"/>
    </xf>
    <xf fontId="9" fillId="83" borderId="0" xfId="0">
      <alignment vertical="center"/>
    </xf>
    <xf fontId="9" fillId="84" borderId="0" xfId="0">
      <alignment vertical="center"/>
    </xf>
    <xf fontId="9" fillId="85" borderId="0" xfId="0">
      <alignment vertical="center"/>
    </xf>
    <xf numFmtId="307" fontId="3" fillId="86" borderId="6" xfId="3" applyFont="1" applyAlignment="1">
      <alignment horizontal="left" vertical="center" wrapText="1"/>
    </xf>
    <xf numFmtId="307" fontId="3" fillId="86" borderId="6" xfId="3" applyFont="1" applyAlignment="1">
      <alignment horizontal="left" vertical="center"/>
    </xf>
    <xf numFmtId="307" fontId="8" fillId="86" borderId="6" xfId="3" applyAlignment="1">
      <alignment vertical="center" wrapText="1"/>
    </xf>
    <xf numFmtId="307" fontId="8" fillId="86" borderId="6" xfId="3" applyAlignment="1">
      <alignment horizontal="left" vertical="center" wrapText="1"/>
    </xf>
    <xf numFmtId="307" fontId="3" fillId="86" borderId="3" xfId="15" applyFont="1" applyBorder="1">
      <alignment vertical="center"/>
    </xf>
    <xf numFmtId="307" fontId="12" fillId="86" borderId="3" xfId="15" applyFont="1" applyBorder="1" applyAlignment="1">
      <alignment vertical="bottom"/>
    </xf>
    <xf numFmtId="307" fontId="8" fillId="86" borderId="4" xfId="15" applyBorder="1">
      <alignment vertical="center"/>
    </xf>
    <xf numFmtId="307" fontId="13" fillId="86" borderId="4" xfId="15" applyFont="1" applyBorder="1" applyAlignment="1">
      <alignment vertical="bottom"/>
    </xf>
    <xf numFmtId="307" fontId="8" fillId="86" borderId="5" xfId="15" applyBorder="1">
      <alignment vertical="center"/>
    </xf>
    <xf numFmtId="307" fontId="13" fillId="86" borderId="5" xfId="15" applyFont="1" applyBorder="1" applyAlignment="1">
      <alignment vertical="bottom"/>
    </xf>
    <xf numFmtId="307" fontId="3" fillId="86" borderId="3" xfId="9" applyFont="1" applyBorder="1" applyAlignment="1">
      <alignment vertical="center"/>
    </xf>
    <xf numFmtId="307" fontId="8" fillId="86" borderId="4" xfId="9" applyBorder="1" applyAlignment="1">
      <alignment vertical="center"/>
    </xf>
    <xf numFmtId="307" fontId="14" fillId="86" borderId="3" xfId="15" applyFont="1" applyBorder="1" applyAlignment="1">
      <alignment vertical="bottom"/>
    </xf>
    <xf numFmtId="307" fontId="15" fillId="86" borderId="4" xfId="15" applyFont="1" applyBorder="1" applyAlignment="1">
      <alignment vertical="bottom"/>
    </xf>
    <xf numFmtId="307" fontId="8" fillId="86" borderId="5" xfId="9" applyBorder="1" applyAlignment="1">
      <alignment vertical="center"/>
    </xf>
    <xf numFmtId="307" fontId="15" fillId="86" borderId="5" xfId="15" applyFont="1" applyBorder="1" applyAlignment="1">
      <alignment vertical="bottom"/>
    </xf>
    <xf numFmtId="307" fontId="16" fillId="86" borderId="3" xfId="15" applyFont="1" applyBorder="1" applyAlignment="1">
      <alignment vertical="bottom"/>
    </xf>
    <xf numFmtId="307" fontId="17" fillId="86" borderId="4" xfId="15" applyFont="1" applyBorder="1" applyAlignment="1">
      <alignment vertical="bottom"/>
    </xf>
    <xf numFmtId="307" fontId="17" fillId="86" borderId="5" xfId="15" applyFont="1" applyBorder="1" applyAlignment="1">
      <alignment vertical="bottom"/>
    </xf>
    <xf numFmtId="307" fontId="12" fillId="86" borderId="4" xfId="15" applyFont="1" applyBorder="1" applyAlignment="1">
      <alignment vertical="bottom"/>
    </xf>
    <xf numFmtId="307" fontId="8" fillId="86" borderId="4" xfId="3" applyBorder="1" applyAlignment="1">
      <alignment wrapText="1"/>
    </xf>
    <xf numFmtId="307" fontId="8" fillId="86" borderId="4" xfId="15" applyBorder="1" applyAlignment="1">
      <alignment vertical="center" wrapText="1"/>
    </xf>
    <xf numFmtId="307" fontId="8" fillId="86" borderId="5" xfId="15" applyBorder="1" applyAlignment="1">
      <alignment vertical="center" wrapText="1"/>
    </xf>
    <xf numFmtId="307" fontId="3" fillId="86" borderId="6" xfId="15" applyNumberFormat="1" applyFont="1" applyFill="1" applyBorder="1" applyAlignment="1">
      <alignment vertical="center"/>
    </xf>
    <xf numFmtId="307" fontId="6" fillId="87" borderId="6" xfId="15" applyNumberFormat="1" applyFont="1" applyFill="1" applyBorder="1" applyAlignment="1">
      <alignment vertical="center"/>
    </xf>
    <xf numFmtId="307" fontId="6" fillId="86" borderId="6" xfId="15" applyNumberFormat="1" applyFont="1" applyFill="1" applyBorder="1" applyAlignment="1">
      <alignment vertical="center"/>
    </xf>
    <xf numFmtId="308" fontId="6" fillId="86" borderId="6" xfId="15" applyNumberFormat="1" applyFont="1" applyFill="1" applyBorder="1" applyAlignment="1">
      <alignment vertical="center"/>
    </xf>
    <xf numFmtId="303" fontId="5" fillId="86" borderId="6" xfId="24" applyNumberFormat="1" applyFont="1" applyFill="1" applyBorder="1" applyAlignment="1">
      <alignment vertical="center"/>
    </xf>
    <xf numFmtId="307" fontId="8" fillId="86" borderId="6" xfId="3" applyNumberFormat="1" applyFill="1" applyBorder="1" applyAlignment="1">
      <alignment horizontal="left" vertical="center" wrapText="1"/>
    </xf>
    <xf numFmtId="307" fontId="8" fillId="86" borderId="6" xfId="3" applyNumberFormat="1" applyFill="1" applyBorder="1">
      <alignment vertical="center"/>
    </xf>
    <xf numFmtId="307" fontId="3" fillId="86" borderId="6" xfId="3" applyNumberFormat="1" applyFont="1" applyFill="1" applyBorder="1" applyAlignment="1">
      <alignment horizontal="left" vertical="center"/>
    </xf>
    <xf numFmtId="307" fontId="8" fillId="86" borderId="6" xfId="15" applyNumberFormat="1" applyFill="1" applyBorder="1" applyAlignment="1">
      <alignment vertical="center"/>
    </xf>
  </cellXfs>
  <cellStyles>
    <cellStyle name="常规" xfId="0" builtinId="0"/>
    <cellStyle name="常规 3" xfId="1"/>
    <cellStyle name="千位分隔" xfId="2" builtinId="3"/>
    <cellStyle name="常规 3 2" xfId="3"/>
    <cellStyle name="常规 4" xfId="4"/>
    <cellStyle name="常规 5" xfId="5"/>
    <cellStyle name="百分比 2 2" xfId="6"/>
    <cellStyle name="常规 6" xfId="7"/>
    <cellStyle name="百分比 2 2 2" xfId="8"/>
    <cellStyle name="常规 8" xfId="9"/>
    <cellStyle name="千位分隔 3" xfId="10"/>
    <cellStyle name="千位分隔 4" xfId="11"/>
    <cellStyle name="千位分隔 2 3" xfId="12"/>
    <cellStyle name="千位分隔 2 2" xfId="13"/>
    <cellStyle name="千位分隔 2" xfId="14"/>
    <cellStyle name="常规 2" xfId="15"/>
    <cellStyle name="常规 2 2" xfId="16"/>
    <cellStyle name="常规 2 2 2" xfId="17"/>
    <cellStyle name="常规 2 2 3" xfId="18"/>
    <cellStyle name="常规 2 4" xfId="19"/>
    <cellStyle name="常规 2 3" xfId="20"/>
    <cellStyle name="常规 136" xfId="21"/>
    <cellStyle name="常规 2 27" xfId="22"/>
    <cellStyle name="百分比 3 2" xfId="23"/>
    <cellStyle name="百分比" xfId="24" builtinId="5"/>
    <cellStyle name="常规 3 21" xfId="25"/>
    <cellStyle name="Comma 5" xfId="26"/>
    <cellStyle name="百分比 2" xfId="27"/>
    <cellStyle name="常规 87" xfId="28"/>
    <cellStyle name="百分比 3" xfId="29"/>
  </cellStyles>
  <dxfs count="1">
    <dxf>
      <fill>
        <patternFill patternType="solid">
          <bgColor theme="8" tint="0.799921"/>
        </patternFill>
      </fill>
      <border>
        <left style="thin">
          <color theme="0"/>
        </left>
        <right style="thin">
          <color theme="0"/>
        </right>
        <top style="thin">
          <color theme="0"/>
        </top>
        <bottom style="thin">
          <color theme="0"/>
        </bottom>
      </border>
    </dxf>
  </dxfs>
</styleSheet>
</file>

<file path=xl/_rels/workbook.xml.rels><?xml version="1.0" encoding="UTF-8" standalone="yes"?><Relationships xmlns="http://schemas.openxmlformats.org/package/2006/relationships"><Relationship Id="rId9" Type="http://schemas.openxmlformats.org/officeDocument/2006/relationships/externalLink" Target="externalLinks/externalLink1.xml" /><Relationship Id="rId7" Type="http://schemas.openxmlformats.org/officeDocument/2006/relationships/worksheet" Target="worksheets/sheet4.xml" /><Relationship Id="rId8" Type="http://schemas.openxmlformats.org/officeDocument/2006/relationships/worksheet" Target="worksheets/sheet5.xml" /><Relationship Id="rId4" Type="http://schemas.openxmlformats.org/officeDocument/2006/relationships/worksheet" Target="worksheets/sheet1.xml" /><Relationship Id="rId27" Type="http://schemas.openxmlformats.org/officeDocument/2006/relationships/externalLink" Target="externalLinks/externalLink19.xml" /><Relationship Id="rId23" Type="http://schemas.openxmlformats.org/officeDocument/2006/relationships/externalLink" Target="externalLinks/externalLink15.xml" /><Relationship Id="rId12" Type="http://schemas.openxmlformats.org/officeDocument/2006/relationships/externalLink" Target="externalLinks/externalLink4.xml" /><Relationship Id="rId3" Type="http://schemas.microsoft.com/office/2017/10/relationships/person" Target="persons/person.xml" /><Relationship Id="rId19" Type="http://schemas.openxmlformats.org/officeDocument/2006/relationships/externalLink" Target="externalLinks/externalLink11.xml" /><Relationship Id="rId6" Type="http://schemas.openxmlformats.org/officeDocument/2006/relationships/worksheet" Target="worksheets/sheet3.xml" /><Relationship Id="rId11" Type="http://schemas.openxmlformats.org/officeDocument/2006/relationships/externalLink" Target="externalLinks/externalLink3.xml" /><Relationship Id="rId25" Type="http://schemas.openxmlformats.org/officeDocument/2006/relationships/externalLink" Target="externalLinks/externalLink17.xml" /><Relationship Id="rId1" Type="http://schemas.openxmlformats.org/officeDocument/2006/relationships/theme" Target="theme/theme1.xml" /><Relationship Id="rId13" Type="http://schemas.openxmlformats.org/officeDocument/2006/relationships/externalLink" Target="externalLinks/externalLink5.xml" /><Relationship Id="rId24" Type="http://schemas.openxmlformats.org/officeDocument/2006/relationships/externalLink" Target="externalLinks/externalLink16.xml" /><Relationship Id="rId0" Type="http://schemas.openxmlformats.org/officeDocument/2006/relationships/sharedStrings" Target="sharedStrings.xml" /><Relationship Id="rId14" Type="http://schemas.openxmlformats.org/officeDocument/2006/relationships/externalLink" Target="externalLinks/externalLink6.xml" /><Relationship Id="rId15" Type="http://schemas.openxmlformats.org/officeDocument/2006/relationships/externalLink" Target="externalLinks/externalLink7.xml" /><Relationship Id="rId10" Type="http://schemas.openxmlformats.org/officeDocument/2006/relationships/externalLink" Target="externalLinks/externalLink2.xml" /><Relationship Id="rId16" Type="http://schemas.openxmlformats.org/officeDocument/2006/relationships/externalLink" Target="externalLinks/externalLink8.xml" /><Relationship Id="rId17" Type="http://schemas.openxmlformats.org/officeDocument/2006/relationships/externalLink" Target="externalLinks/externalLink9.xml" /><Relationship Id="rId18" Type="http://schemas.openxmlformats.org/officeDocument/2006/relationships/externalLink" Target="externalLinks/externalLink10.xml" /><Relationship Id="rId2" Type="http://schemas.openxmlformats.org/officeDocument/2006/relationships/styles" Target="styles.xml" /><Relationship Id="rId22" Type="http://schemas.openxmlformats.org/officeDocument/2006/relationships/externalLink" Target="externalLinks/externalLink14.xml" /><Relationship Id="rId5" Type="http://schemas.openxmlformats.org/officeDocument/2006/relationships/worksheet" Target="worksheets/sheet2.xml" /><Relationship Id="rId26" Type="http://schemas.openxmlformats.org/officeDocument/2006/relationships/externalLink" Target="externalLinks/externalLink18.xml" /><Relationship Id="rId20" Type="http://schemas.openxmlformats.org/officeDocument/2006/relationships/externalLink" Target="externalLinks/externalLink12.xml" /><Relationship Id="rId21" Type="http://schemas.openxmlformats.org/officeDocument/2006/relationships/externalLink" Target="externalLinks/externalLink13.xml" /></Relationships>
</file>

<file path=xl/externalLinks/_rels/externalLink1.xml.rels><?xml version="1.0" encoding="UTF-8" standalone="yes"?><Relationships xmlns="http://schemas.openxmlformats.org/package/2006/relationships"><Relationship Id="rId0" Type="http://schemas.openxmlformats.org/officeDocument/2006/relationships/externalLinkPath" Target="/Ray/ray_old/PROPHET/material/Unit%20Linked%20SP%20(with%20Sterling%20Res)%20110&#172;count%20value/123.xls" TargetMode="External"/></Relationships>
</file>

<file path=xl/externalLinks/_rels/externalLink2.xml.rels><?xml version="1.0" encoding="UTF-8" standalone="yes"?><Relationships xmlns="http://schemas.openxmlformats.org/package/2006/relationships"><Relationship Id="rId0" Type="http://schemas.openxmlformats.org/officeDocument/2006/relationships/externalLinkPath" Target="/Users/hasee/Desktop/&#26032;&#24314;&#25991;&#20214;&#22841;%20(2)/&#32463;&#20856;excel&#34920;&#26684;/BusinessPlanner_Demo.xls" TargetMode="External"/></Relationships>
</file>

<file path=xl/externalLinks/_rels/externalLink3.xml.rels><?xml version="1.0" encoding="UTF-8" standalone="yes"?><Relationships xmlns="http://schemas.openxmlformats.org/package/2006/relationships"><Relationship Id="rId0" Type="http://schemas.openxmlformats.org/officeDocument/2006/relationships/externalLinkPath" Target="/personal/yichen_wang_yuyuantech_partner_onmschina_cn/Documents/ALM&#32452;&#20849;&#20139;&#25991;&#20214;&#22841;/&#24038;&#36808;&#38420;/&#30417;&#31649;&#25253;&#34920;&#26657;&#39564;&#65288;&#20013;&#33521;&#65289;/current_office_result_20210825_172733.xlsx" TargetMode="External"/></Relationships>
</file>

<file path=xl/externalLinks/_rels/externalLink4.xml.rels><?xml version="1.0" encoding="UTF-8" standalone="yes"?><Relationships xmlns="http://schemas.openxmlformats.org/package/2006/relationships"><Relationship Id="rId0" Type="http://schemas.openxmlformats.org/officeDocument/2006/relationships/externalLinkPath" Target="/&#21518;&#21488;&#19994;&#21153;&#25968;&#25454;/151_&#20154;&#23551;&#25237;&#36164;&#31649;&#29702;&#37096;&#19994;&#21153;&#25968;&#25454;/&#20020;&#26102;&#25991;&#20214;&#22841;2/2.&#36164;&#20135;&#36127;&#20538;&#31649;&#29702;&#19982;&#36164;&#20135;&#37197;&#32622;&#27169;&#22411;&#31995;&#32479;/&#35780;&#20272;&#26102;&#28857;&#65306;20210930/1&#12289;&#19978;&#20256;/2.&#36164;&#20135;/&#23567;&#34920;&#19978;&#20256;/1.EquityTemplate-&#20256;&#32479;&#22659;&#22806;&#19981;&#21160;&#20135;-&#23384;&#37327;.xlsx" TargetMode="External"/></Relationships>
</file>

<file path=xl/externalLinks/_rels/externalLink5.xml.rels><?xml version="1.0" encoding="UTF-8" standalone="yes"?><Relationships xmlns="http://schemas.openxmlformats.org/package/2006/relationships"><Relationship Id="rId0" Type="http://schemas.openxmlformats.org/officeDocument/2006/relationships/externalLinkPath" Target="/Users/zhangshen/AppData/Roaming/Microsoft/Excel/2013&#24180;&#24230;&#20154;&#23551;&#20607;&#20184;&#25253;&#21578;-&#20027;&#12289;&#38468;&#34920;EXCEL&#37096;&#20998;~.xls" TargetMode="External"/></Relationships>
</file>

<file path=xl/externalLinks/_rels/externalLink6.xml.rels><?xml version="1.0" encoding="UTF-8" standalone="yes"?><Relationships xmlns="http://schemas.openxmlformats.org/package/2006/relationships"><Relationship Id="rId0" Type="http://schemas.openxmlformats.org/officeDocument/2006/relationships/externalLinkPath" Target="/&#20219;&#31515;/&#24037;&#20316;&#25991;&#20214;&#22841;-2010&#24180;/&#20607;&#20184;&#33021;&#21147;&#20449;&#24687;&#31995;&#32479;/&#25253;&#34920;&#27169;&#29256;/Bison&apos;s%20Documents/&#23398;&#20064;/&#20445;&#30417;&#20250;/070610/&#21160;&#24577;&#20607;&#20184;&#33021;&#21147;&#27979;&#35797;&#34920;&#65288;2007&#24180;&#29256;&#65289;3.xls" TargetMode="External"/></Relationships>
</file>

<file path=xl/externalLinks/_rels/externalLink7.xml.rels><?xml version="1.0" encoding="UTF-8" standalone="yes"?><Relationships xmlns="http://schemas.openxmlformats.org/package/2006/relationships"><Relationship Id="rId0" Type="http://schemas.openxmlformats.org/officeDocument/2006/relationships/externalLinkPath" Target="/Users/Cora%20Y%20Shen/Desktop/&#20108;&#25903;&#26609;/&#20803;&#32032;&#28165;&#21333;/IRR&#20803;&#32032;&#28165;&#21333;-0615.xlsx" TargetMode="External"/></Relationships>
</file>

<file path=xl/externalLinks/_rels/externalLink8.xml.rels><?xml version="1.0" encoding="UTF-8" standalone="yes"?><Relationships xmlns="http://schemas.openxmlformats.org/package/2006/relationships"><Relationship Id="rId0" Type="http://schemas.openxmlformats.org/officeDocument/2006/relationships/externalLinkPath" Target="&#39033;&#30446;&#39044;&#31639;&#27169;&#26495;&#34920;1" TargetMode="External"/></Relationships>
</file>

<file path=xl/externalLinks/_rels/externalLink9.xml.rels><?xml version="1.0" encoding="UTF-8" standalone="yes"?><Relationships xmlns="http://schemas.openxmlformats.org/package/2006/relationships"><Relationship Id="rId0" Type="http://schemas.openxmlformats.org/officeDocument/2006/relationships/externalLinkPath" Target="/personal/yichen_wang_yuyuantech_partner_onmschina_cn/Documents/&#39044;&#36828;&#31185;&#25216;&#20849;&#20139;&#25991;&#20214;&#22841;/&#27743;&#26133;&#29605;/Tasks/9.%20ALM%20Calculation/Generic%20Liability%20Model%20-%2020190304.xlsx" TargetMode="External"/></Relationships>
</file>

<file path=xl/externalLinks/_rels/externalLink10.xml.rels><?xml version="1.0" encoding="UTF-8" standalone="yes"?><Relationships xmlns="http://schemas.openxmlformats.org/package/2006/relationships"><Relationship Id="rId0" Type="http://schemas.openxmlformats.org/officeDocument/2006/relationships/externalLinkPath" Target="/Users/hasee/Desktop/&#26032;&#24314;&#25991;&#20214;&#22841;%20(2)/&#25903;&#31080;&#31649;&#29702;/&#25903;&#31080;&#25171;&#21360;&#27169;&#29256;.xls" TargetMode="External"/></Relationships>
</file>

<file path=xl/externalLinks/_rels/externalLink11.xml.rels><?xml version="1.0" encoding="UTF-8" standalone="yes"?><Relationships xmlns="http://schemas.openxmlformats.org/package/2006/relationships"><Relationship Id="rId0" Type="http://schemas.openxmlformats.org/officeDocument/2006/relationships/externalLinkPath" Target="/personal/yichen_wang_yuyuantech_partner_onmschina_cn/Documents/ALM&#32452;&#20849;&#20139;&#25991;&#20214;&#22841;/&#20399;&#22025;&#29738;/38.%20ALM3-2/&#36130;&#38505;&#30417;&#31649;&#25253;&#34920;&#27979;&#35797;&#26696;&#20363;/3-2&#19982;&#20854;&#20313;&#34920;&#21512;&#24182;/1.%20&#22823;&#23478;&#20445;&#38505;&#36130;&#38505;&#36164;&#20135;&#25968;&#25454;2.0%20-%20210930%20-%20220511-DESKTOP-0296BDQ-4.xlsx" TargetMode="External"/></Relationships>
</file>

<file path=xl/externalLinks/_rels/externalLink12.xml.rels><?xml version="1.0" encoding="UTF-8" standalone="yes"?><Relationships xmlns="http://schemas.openxmlformats.org/package/2006/relationships"><Relationship Id="rId0" Type="http://schemas.openxmlformats.org/officeDocument/2006/relationships/externalLinkPath" Target="/Users/Cora%20Y%20Shen/Desktop/YUE-IRR&#20803;&#32032;&#28165;&#21333;-0627.xlsx" TargetMode="External"/></Relationships>
</file>

<file path=xl/externalLinks/_rels/externalLink13.xml.rels><?xml version="1.0" encoding="UTF-8" standalone="yes"?><Relationships xmlns="http://schemas.openxmlformats.org/package/2006/relationships"><Relationship Id="rId0" Type="http://schemas.openxmlformats.org/officeDocument/2006/relationships/externalLinkPath" Target="file:///F:\MyDocuments\t-dinghao\&#26700;&#38754;\from%20erm\C-ROSS%20&#25253;&#21578;&#35201;&#27714;\C-ROSS%20&#25253;&#21578;&#35201;&#27714;\&#38468;&#20214;1.&#20445;&#38505;&#20844;&#21496;&#20607;&#20184;&#33021;&#21147;&#23395;&#24230;&#25253;&#21578;EXCEL&#26679;&#34920;&#65288;2015-12&#65289;.xlsm" TargetMode="External"/></Relationships>
</file>

<file path=xl/externalLinks/_rels/externalLink14.xml.rels><?xml version="1.0" encoding="UTF-8" standalone="yes"?><Relationships xmlns="http://schemas.openxmlformats.org/package/2006/relationships"><Relationship Id="rId0" Type="http://schemas.openxmlformats.org/officeDocument/2006/relationships/externalLinkPath" Target="/Investment/CROSS/&#27169;&#26495;/Excel&#27169;&#26495;/C-ROSS&#25968;&#25454;&#20998;&#26512;&#35745;&#31639;&#27169;&#26495;&#65288;&#23436;&#25972;&#65289;V13.xls" TargetMode="External"/></Relationships>
</file>

<file path=xl/externalLinks/_rels/externalLink15.xml.rels><?xml version="1.0" encoding="UTF-8" standalone="yes"?><Relationships xmlns="http://schemas.openxmlformats.org/package/2006/relationships"><Relationship Id="rId0" Type="http://schemas.openxmlformats.org/officeDocument/2006/relationships/externalLinkPath" Target="/Users/chengjuan05/AppData/Local/Microsoft/Windows/Temporary%20Internet%20Files/Content.IE5/D6LZ7CZG/&#25968;&#25454;&#38656;&#27714;&#27719;&#24635;-&#20445;&#30417;&#36130;&#20250;15&#21495;&#38468;&#20214;1.xls" TargetMode="External"/></Relationships>
</file>

<file path=xl/externalLinks/_rels/externalLink16.xml.rels><?xml version="1.0" encoding="UTF-8" standalone="yes"?><Relationships xmlns="http://schemas.openxmlformats.org/package/2006/relationships"><Relationship Id="rId0" Type="http://schemas.openxmlformats.org/officeDocument/2006/relationships/externalLinkPath" Target="/Investment/CROSS/&#27169;&#26495;/Excel&#27169;&#26495;/C-ROSS&#25968;&#25454;&#20998;&#26512;&#35745;&#31639;&#27169;&#26495;&#65288;&#23436;&#25972;&#65289;V14.xls" TargetMode="External"/></Relationships>
</file>

<file path=xl/externalLinks/_rels/externalLink17.xml.rels><?xml version="1.0" encoding="UTF-8" standalone="yes"?><Relationships xmlns="http://schemas.openxmlformats.org/package/2006/relationships"><Relationship Id="rId0" Type="http://schemas.openxmlformats.org/officeDocument/2006/relationships/externalLinkPath" Target="/alm/3_Liquidity_Risk/&#27969;&#21160;&#24615;&#38480;&#39069;/2016&#27969;&#21160;&#24615;&#38480;&#39069;&#21046;&#23450;/&#38750;&#27969;&#21160;&#24615;&#38480;&#39069;&#27979;&#31639;/&#38750;&#27969;&#21160;&#24615;&#38480;&#39069;&#27979;&#31639;_&#20010;&#32418;.xlsm" TargetMode="External"/></Relationships>
</file>

<file path=xl/externalLinks/_rels/externalLink18.xml.rels><?xml version="1.0" encoding="UTF-8" standalone="yes"?><Relationships xmlns="http://schemas.openxmlformats.org/package/2006/relationships"><Relationship Id="rId0" Type="http://schemas.openxmlformats.org/officeDocument/2006/relationships/externalLinkPath" Target="/Users/hasee/Desktop/&#26032;&#24314;&#25991;&#20214;&#22841;%20(2)/&#25903;&#31080;&#31649;&#29702;/&#25903;&#31080;&#31649;&#29702;.xls" TargetMode="External"/></Relationships>
</file>

<file path=xl/externalLinks/_rels/externalLink19.xml.rels><?xml version="1.0" encoding="UTF-8" standalone="yes"?><Relationships xmlns="http://schemas.openxmlformats.org/package/2006/relationships"><Relationship Id="rId0" Type="http://schemas.openxmlformats.org/officeDocument/2006/relationships/externalLinkPath" Target="Demo%20-%20&#20248;&#21270;&#22120;&#32422;&#26463;&#26465;&#20214;%20-%20&#20256;&#32479;.xlsx" TargetMode="External"/></Relationships>
</file>

<file path=xl/externalLinks/externalLink1.xml><?xml version="1.0" encoding="utf-8"?>
<externalLink xmlns:r="http://schemas.openxmlformats.org/officeDocument/2006/relationships" xmlns="http://schemas.openxmlformats.org/spreadsheetml/2006/main">
  <externalBook r:id="rId0">
    <sheetNames>
      <sheetName val="Control"/>
      <sheetName val="Inputs"/>
      <sheetName val="Multipliers"/>
      <sheetName val="Sterling reserve"/>
      <sheetName val="Cashflow"/>
      <sheetName val="Annual_Cashflow"/>
      <sheetName val="Reserve"/>
      <sheetName val="CSV"/>
      <sheetName val="SA_MULT"/>
      <sheetName val="DB_MULT"/>
      <sheetName val="ROP_MULT"/>
      <sheetName val="ALLOC_MULT"/>
      <sheetName val="CASH_END_MULT"/>
      <sheetName val="OTHER_BEN"/>
      <sheetName val="CSV_FAC"/>
      <sheetName val="ANN_MULT"/>
      <sheetName val="Expenses"/>
      <sheetName val="Basic Comm"/>
      <sheetName val="Override Comm"/>
      <sheetName val="Mortality_Assump"/>
      <sheetName val="Mort_Improve"/>
      <sheetName val="Lapse"/>
      <sheetName val="Lapse_Rate"/>
      <sheetName val="RES_SURR_BASIS"/>
      <sheetName val="Mortality"/>
      <sheetName val="Global"/>
      <sheetName val="Results"/>
      <sheetName val="Model_pt"/>
      <sheetName val="基本参数"/>
      <sheetName val="填报说明"/>
      <sheetName val="目录"/>
    </sheetNames>
    <sheetDataSet>
      <sheetData sheetId="0" refreshError="1"/>
      <sheetData sheetId="1"/>
      <sheetData sheetId="2"/>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sheetData sheetId="27"/>
      <sheetData sheetId="28" refreshError="1"/>
      <sheetData sheetId="29" refreshError="1"/>
      <sheetData sheetId="30" refreshError="1"/>
    </sheetDataSet>
  </externalBook>
</externalLink>
</file>

<file path=xl/externalLinks/externalLink2.xml><?xml version="1.0" encoding="utf-8"?>
<externalLink xmlns:r="http://schemas.openxmlformats.org/officeDocument/2006/relationships" xmlns="http://schemas.openxmlformats.org/spreadsheetml/2006/main">
  <externalBook r:id="rId0">
    <sheetNames>
      <sheetName val="RANGES"/>
      <sheetName val="Home"/>
      <sheetName val="Dashboard data"/>
      <sheetName val="Dashboard"/>
      <sheetName val="P&amp;L (CY Plan)"/>
      <sheetName val="P&amp;L (CY Act)"/>
      <sheetName val="P&amp;L (PY Act)"/>
      <sheetName val="P&amp;L (Compare)"/>
      <sheetName val="Balance Sheet"/>
      <sheetName val="Cash Flow"/>
      <sheetName val="Sales Fcst"/>
      <sheetName val="Sales Record"/>
      <sheetName val="Spending Record"/>
      <sheetName val="Invoice"/>
      <sheetName val="Purchase Order "/>
      <sheetName val="Payroll"/>
      <sheetName val="Timesheet"/>
      <sheetName val="Inventory List"/>
      <sheetName val="Expense report"/>
      <sheetName val="Loan Amortization Schedule"/>
      <sheetName val="Contacts"/>
      <sheetName val="x"/>
      <sheetName val="基本参数"/>
      <sheetName val="目录"/>
      <sheetName val="Inputs"/>
      <sheetName val="OTHER_BEN"/>
      <sheetName val="Expenses"/>
      <sheetName val="Basic Comm"/>
      <sheetName val="Reserve"/>
      <sheetName val="CSV"/>
      <sheetName val="Lapse"/>
      <sheetName val="Lapse_Rate"/>
      <sheetName val="Mortality_Assump"/>
      <sheetName val="Mort_Improve"/>
      <sheetName val="Mortality"/>
      <sheetName val="Model_pt"/>
      <sheetName val="Multipliers"/>
      <sheetName val="Override Comm"/>
      <sheetName val="Results"/>
      <sheetName val="RES_SURR_BASIS"/>
      <sheetName val="SA_M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r="http://schemas.openxmlformats.org/officeDocument/2006/relationships" xmlns="http://schemas.openxmlformats.org/spreadsheetml/2006/main">
  <externalBook r:id="rId0">
    <sheetNames>
      <sheetName val="封面"/>
      <sheetName val="签字页"/>
      <sheetName val="评估频率和填报频率"/>
      <sheetName val="权重分配及评分"/>
      <sheetName val="量化评估标准及评分"/>
      <sheetName val="目录"/>
      <sheetName val="资产信息输入模板"/>
      <sheetName val="资产建模基本信息（Set-up页面信息汇总）"/>
      <sheetName val="分类映射表"/>
      <sheetName val="资产输入"/>
      <sheetName val="字段表"/>
      <sheetName val="负债输入"/>
      <sheetName val="其他输入"/>
      <sheetName val="曲线输入"/>
      <sheetName val="压力情景输入"/>
      <sheetName val="长期资产列表输入"/>
      <sheetName val="ALM底层数据对应"/>
      <sheetName val="偿付能力对应"/>
      <sheetName val="资产计算"/>
      <sheetName val="偿付能力计算"/>
      <sheetName val="资产计算2"/>
      <sheetName val="10日VaR输入"/>
      <sheetName val="10日VaR计算"/>
      <sheetName val="集中度计算"/>
      <sheetName val="财务计算"/>
      <sheetName val="长期-存量"/>
      <sheetName val="长期-再平衡T0T1"/>
      <sheetName val="长期-T0"/>
      <sheetName val="长期-T1"/>
      <sheetName val="财务计算T1T2"/>
      <sheetName val="长期-再平衡T1T2"/>
      <sheetName val="现金流预测"/>
      <sheetName val="压力情景一"/>
      <sheetName val="Categorisation"/>
      <sheetName val="Name List"/>
      <sheetName val="压力情景二"/>
      <sheetName val="表1-1 资产配置状况"/>
      <sheetName val="表1-2 资产信用状况"/>
      <sheetName val="表1-3 负债产品信息"/>
      <sheetName val="表2-1 期限结构匹配测试表_修正久期"/>
      <sheetName val="表2-2 期限结构匹配测试表_关键久期"/>
      <sheetName val="备注"/>
      <sheetName val="RANGES"/>
      <sheetName val="Dashboard data"/>
      <sheetName val="P&amp;L (CY Act)"/>
      <sheetName val="P&amp;L (CY Plan)"/>
      <sheetName val="P&amp;L (PY Act)"/>
      <sheetName val="Sales Fcst"/>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xml><?xml version="1.0" encoding="utf-8"?>
<externalLink xmlns:r="http://schemas.openxmlformats.org/officeDocument/2006/relationships" xmlns="http://schemas.openxmlformats.org/spreadsheetml/2006/main">
  <externalBook r:id="rId0">
    <sheetNames>
      <sheetName val="Set Up"/>
      <sheetName val="Asset Input"/>
      <sheetName val="Solvency Input"/>
      <sheetName val="for公式匹配"/>
      <sheetName val="字段表"/>
      <sheetName val="资产信息输入模板"/>
      <sheetName val="资产收益率"/>
      <sheetName val="收益率曲线"/>
      <sheetName val="SAA分类匹配"/>
      <sheetName val="Name List"/>
      <sheetName val="Categorisation"/>
      <sheetName val="__backingdata__"/>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r="http://schemas.openxmlformats.org/officeDocument/2006/relationships" xmlns="http://schemas.openxmlformats.org/spreadsheetml/2006/main">
  <externalBook r:id="rId0">
    <sheetNames>
      <sheetName val="目录"/>
      <sheetName val="说明"/>
      <sheetName val="偿付能力状况表"/>
      <sheetName val="最低资本表"/>
      <sheetName val="实际资本表"/>
      <sheetName val="认可资产表"/>
      <sheetName val="认可负债表"/>
      <sheetName val="动态偿付能力测试表"/>
      <sheetName val="实际资本变动表"/>
      <sheetName val="综合收益表"/>
      <sheetName val="固定资产的认可价值"/>
      <sheetName val="房屋"/>
      <sheetName val="FA-2经营性租入的固定资产"/>
      <sheetName val="经营性租出的固定资产"/>
      <sheetName val="土地使用权"/>
      <sheetName val="计算机软件"/>
      <sheetName val="Sheet1"/>
      <sheetName val="投资资产的认可价值"/>
      <sheetName val="政府债券"/>
      <sheetName val="金融债"/>
      <sheetName val="结构性存款"/>
      <sheetName val="金融债券"/>
      <sheetName val="次级债"/>
      <sheetName val="企业债券"/>
      <sheetName val="资产证券化产品"/>
      <sheetName val="基础设施投资"/>
      <sheetName val="上市股票"/>
      <sheetName val="证券投资基金"/>
      <sheetName val="其他投资资产"/>
      <sheetName val="持有的境外外汇投资资产"/>
      <sheetName val="外币投资资产"/>
      <sheetName val="流动性管理工具"/>
      <sheetName val="不动产投资"/>
      <sheetName val="未上市股权"/>
      <sheetName val="应收保费的认可价值"/>
      <sheetName val="各险种应收保费"/>
      <sheetName val="应收分保账款的前十大债务人"/>
      <sheetName val="应收利息的认可价值"/>
      <sheetName val="其他应收款的认可价值和前十大债务人"/>
      <sheetName val="外国保险公司分公司对总公司债权"/>
      <sheetName val="不同资金来源形成的委托投资资产"/>
      <sheetName val="不同投资品种的委托投资资产"/>
      <sheetName val="封闭式回购业务相关资产、负债的认可价值"/>
      <sheetName val="买断式回购相关资产、负债的认可价值"/>
      <sheetName val="报告期内单日交易金额居前十位的回购业务"/>
      <sheetName val="结算金额居前五位的证券回购业务"/>
      <sheetName val="责任准备金（汇总）"/>
      <sheetName val="财产保险业务责任准备金"/>
      <sheetName val="传统寿险业务责任准备金（个人）"/>
      <sheetName val="传统寿险业务责任准备金（团体）"/>
      <sheetName val="分红寿险业务责任准备金（个人）"/>
      <sheetName val="分红寿险业务责任准备金（团体）"/>
      <sheetName val="万能寿险业务责任准备金（个人）"/>
      <sheetName val="万能寿险业务责任准备金（团体）"/>
      <sheetName val="传统健康保险业务责任准备金（个人）"/>
      <sheetName val="传统健康保险业务责任准备金（团体）"/>
      <sheetName val="分红健康保险业务责任准备金（个人）"/>
      <sheetName val="分红健康保险业务责任准备金（团体）"/>
      <sheetName val="意外伤害保险业务责任准备金"/>
      <sheetName val="寿险公司责任准备金前十位产品"/>
      <sheetName val="寿险公司报告期内新契约责任准备金前十位产品"/>
      <sheetName val="财产再保险业务责任准备金"/>
      <sheetName val="人身再保险业务责任准备金"/>
      <sheetName val="报告期责任准备金评估基础变更"/>
      <sheetName val="应付分保款项前十大债权人"/>
      <sheetName val="应付次级债"/>
      <sheetName val="预计负债"/>
      <sheetName val="对外保证担保形成的或有负债"/>
      <sheetName val="投资账户资产估值"/>
      <sheetName val="投资账户投资收益"/>
      <sheetName val="投资账户价值变动"/>
      <sheetName val="董事变更情况"/>
      <sheetName val="股权结构"/>
      <sheetName val="前十大所有者"/>
      <sheetName val="股权转让"/>
      <sheetName val="保费收入"/>
      <sheetName val="寿险公司保费收入居前十位的产品"/>
      <sheetName val="寿险公司的保费收入"/>
      <sheetName val="寿险公司不同剩余交费期的保费收入"/>
      <sheetName val="产险公司各险种的赔款"/>
      <sheetName val="寿险公司各险种的赔款、给付和退保金"/>
      <sheetName val="分出保费"/>
      <sheetName val="分入保费"/>
      <sheetName val="子公司、合营企业和联营企业中的保险公司"/>
      <sheetName val="子公司、合营企业和联营企业中的商业银行"/>
      <sheetName val="子公司、合营企业和联营企业中的证券公司"/>
      <sheetName val="其他子公司、合营企业和联营企业"/>
      <sheetName val="投资收益率假设"/>
      <sheetName val="死亡率、疾病率和其他承保事故发生率假设"/>
      <sheetName val="精算费用假设"/>
      <sheetName val="公司整体费用预测"/>
      <sheetName val="退保率假设"/>
      <sheetName val="新业务假设"/>
      <sheetName val="预测利润表"/>
      <sheetName val="转移重大保险风险的财产再保险分入业务"/>
      <sheetName val="转移重大保险风险的人身再保险分入业务"/>
      <sheetName val="转移重大保险风险的财产再保险分出业务"/>
      <sheetName val="转移重大保险风险的人身再保险分出业务"/>
      <sheetName val="转移重大保险风险的再保险分出业务的主要交易对手"/>
      <sheetName val="转移重大保险风险的再保险分入业务的主要交易对手"/>
      <sheetName val="未转移重大保险风险的再保险业务"/>
      <sheetName val="应收分保款项的认可价值"/>
      <sheetName val="与偿付能力不足的境内、外再保险人的分出业务情况"/>
      <sheetName val="分保比例大等于75%的分保合同"/>
      <sheetName val="追溯再保险业务"/>
      <sheetName val="RC－1城乡居民大病保险最低资本"/>
      <sheetName val="IL-1转置底稿"/>
      <sheetName val="Sheet5"/>
      <sheetName val="资产信息输入模板"/>
      <sheetName val="偿付能力计算"/>
      <sheetName val="曲线输入"/>
      <sheetName val="负债输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Set>
  </externalBook>
</externalLink>
</file>

<file path=xl/externalLinks/externalLink6.xml><?xml version="1.0" encoding="utf-8"?>
<externalLink xmlns:r="http://schemas.openxmlformats.org/officeDocument/2006/relationships" xmlns="http://schemas.openxmlformats.org/spreadsheetml/2006/main">
  <externalBook r:id="rId0">
    <sheetNames>
      <sheetName val="目录"/>
      <sheetName val="说明"/>
      <sheetName val="动态偿付能力测试表"/>
      <sheetName val="投资收益率假设"/>
      <sheetName val="死亡率、疾病率和其他承保事故发生率假设"/>
      <sheetName val="精算费用假设"/>
      <sheetName val="公司整体费用预测"/>
      <sheetName val="退保率假设"/>
      <sheetName val="新业务假设"/>
      <sheetName val="预测利润表"/>
      <sheetName val="动态偿付能力测试表（2007年版）3"/>
      <sheetName val="（保险公司）非寿险业务保险风险-保费和准备金风险"/>
      <sheetName val="保费、准备金风险因子"/>
      <sheetName val="（保险公司）非寿险业务保险风险-巨灾风险"/>
      <sheetName val="利率风险-利率类金融衍生品-国债期货（符合条件套保）"/>
      <sheetName val="封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r="http://schemas.openxmlformats.org/officeDocument/2006/relationships" xmlns="http://schemas.openxmlformats.org/spreadsheetml/2006/main">
  <externalBook r:id="rId0">
    <sheetNames>
      <sheetName val="封面"/>
      <sheetName val="Database-指标数据类型"/>
      <sheetName val="Database-下拉框"/>
      <sheetName val="Database-分值计算"/>
      <sheetName val="OR01-产险销售"/>
      <sheetName val="OR02-寿险销售"/>
      <sheetName val="OR03-分支产险销售"/>
      <sheetName val="OR04-分支寿险销售"/>
      <sheetName val="OR05-产险理赔"/>
      <sheetName val="Database-参数列表"/>
      <sheetName val="OR06-寿险理赔"/>
      <sheetName val="OR07-分支产险理赔"/>
      <sheetName val="OR08-分支寿险理赔"/>
      <sheetName val="OR09-再保险业务"/>
      <sheetName val="OR10-资金运用业务"/>
      <sheetName val="OR11-公司治理"/>
      <sheetName val="OR12-法人财务"/>
      <sheetName val="OR13-分支财务"/>
      <sheetName val="OR14-产险准备金"/>
      <sheetName val="OR15-寿险准备金"/>
      <sheetName val="OR17-案件管理 "/>
      <sheetName val="OR18-合规风险"/>
      <sheetName val="SR01-战略风险"/>
      <sheetName val="RR01-声誉风险"/>
      <sheetName val="LR01-流动性风险-财产险和再保险"/>
      <sheetName val="LR02-流动性风险-人身险"/>
      <sheetName val="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r="http://schemas.openxmlformats.org/officeDocument/2006/relationships" xmlns="http://schemas.openxmlformats.org/spreadsheetml/2006/main">
  <externalBook r:id="rId0">
    <sheetNames>
      <sheetName val="Source of Project Cost"/>
      <sheetName val="Expenditures Over Time"/>
      <sheetName val="Cumulative Project Costs"/>
      <sheetName val="Data Worksheet"/>
      <sheetName val="基本参数"/>
      <sheetName val="RANGES"/>
      <sheetName val="Dashboard data"/>
      <sheetName val="P&amp;L (CY Act)"/>
      <sheetName val="P&amp;L (CY Plan)"/>
      <sheetName val="P&amp;L (PY Act)"/>
      <sheetName val="Sales Fcst"/>
      <sheetName val="HHI"/>
      <sheetName val="目录"/>
      <sheetName val="Database-下拉框"/>
      <sheetName val="Input"/>
      <sheetName val="DATA(理賠)"/>
      <sheetName val="data"/>
      <sheetName val="Source1"/>
      <sheetName val="Underwriting1"/>
      <sheetName val="Paramter"/>
      <sheetName val="Input(Base)"/>
      <sheetName val="Stress Scenario Input"/>
      <sheetName val="Analysis"/>
    </sheetNames>
    <sheetDataSet>
      <sheetData sheetId="0" refreshError="1"/>
      <sheetData sheetId="1">
        <row r="11">
          <cell r="D11">
            <v>0</v>
          </cell>
        </row>
        <row r="19">
          <cell r="D19">
            <v>0</v>
          </cell>
        </row>
        <row r="27">
          <cell r="D27">
            <v>0</v>
          </cell>
        </row>
        <row r="35">
          <cell r="D35">
            <v>0</v>
          </cell>
        </row>
        <row r="43">
          <cell r="D43">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r="http://schemas.openxmlformats.org/officeDocument/2006/relationships" xmlns="http://schemas.openxmlformats.org/spreadsheetml/2006/main">
  <externalBook r:id="rId0">
    <sheetNames>
      <sheetName val="Setup"/>
      <sheetName val="Curves Input"/>
      <sheetName val="RMTVOGPM Input"/>
      <sheetName val="Raw Cashflow"/>
      <sheetName val="Cashflows Input"/>
      <sheetName val="Input - New Business"/>
      <sheetName val="Stress Scenario Input"/>
      <sheetName val="GovtCur Sims Input"/>
      <sheetName val="Reg Curve Sims"/>
      <sheetName val="Analysis"/>
      <sheetName val="Capital Requirement"/>
      <sheetName val="Simulations"/>
      <sheetName val="Output"/>
      <sheetName val="Cashflows"/>
      <sheetName val="Curve"/>
      <sheetName val="750D Curve Builder"/>
      <sheetName val="Data Hub"/>
      <sheetName val="Data Validation Lists"/>
      <sheetName val="Expenditures Over Ti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0">
    <sheetNames>
      <sheetName val="主页"/>
      <sheetName val="支票信息"/>
      <sheetName val="收款人资料"/>
      <sheetName val="支票填写"/>
      <sheetName val="支票"/>
      <sheetName val="银行进账单"/>
      <sheetName val="Stress Scenario Input"/>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0">
    <sheetNames>
      <sheetName val="封面"/>
      <sheetName val="签字页"/>
      <sheetName val="评估频率及填报频率"/>
      <sheetName val="目录"/>
      <sheetName val="权重分配及综合得分"/>
      <sheetName val="量化评估标准及评分"/>
      <sheetName val="资产明细"/>
      <sheetName val="List"/>
      <sheetName val="支票填写"/>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0">
    <sheetNames>
      <sheetName val="封面"/>
      <sheetName val="Database-指标数据类型"/>
      <sheetName val="Database-下拉框"/>
      <sheetName val="Database-分值计算"/>
      <sheetName val="Database-参数列表"/>
      <sheetName val="OR01-产险销售"/>
      <sheetName val="OR02-寿险销售"/>
      <sheetName val="OR03-分支产险销售"/>
      <sheetName val="OR04-分支寿险销售"/>
      <sheetName val="OR05-产险理赔"/>
      <sheetName val="OR06-寿险理赔"/>
      <sheetName val="OR07-分支产险理赔"/>
      <sheetName val="OR08-分支寿险理赔"/>
      <sheetName val="OR09-再保险业务"/>
      <sheetName val="OR10-资金运用业务"/>
      <sheetName val="OR11-公司治理"/>
      <sheetName val="OR12-法人财务"/>
      <sheetName val="OR13-分支财务"/>
      <sheetName val="OR14-产险准备金"/>
      <sheetName val="OR15-寿险准备金"/>
      <sheetName val="OR17-案件管理 "/>
      <sheetName val="OR18-合规风险"/>
      <sheetName val="SR01-战略风险"/>
      <sheetName val="RR01-声誉风险"/>
      <sheetName val="LR01-流动性风险-财产险和再保险"/>
      <sheetName val="LR02-流动性风险-人身险"/>
      <sheetName val="资产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0">
    <sheetNames>
      <sheetName val="Database"/>
      <sheetName val="说明"/>
      <sheetName val="封面"/>
      <sheetName val="AceSol"/>
      <sheetName val="公司信息"/>
      <sheetName val="目录"/>
      <sheetName val="S01-偿付能力状况表"/>
      <sheetName val="S02-实际资本表"/>
      <sheetName val="S03-认可资产表"/>
      <sheetName val="S04-认可负债表"/>
      <sheetName val="S05-寿险合同未到期责任准备金负债"/>
      <sheetName val="S06-资本工具表"/>
      <sheetName val="S07-最低资本表"/>
      <sheetName val="IR01-财险和人身险公司非寿险业务保险风险-保费和准备金风险"/>
      <sheetName val="IR02-财险和人身险公司非寿险业务保险风险-巨灾风险"/>
      <sheetName val="IR03-再保险公司非寿险再保险业务保险风险-保费和准备金风险"/>
      <sheetName val="IR04-再保险公司非寿险再保险业务保险风险-巨灾风险"/>
      <sheetName val="IR05-寿险业务保险风险"/>
      <sheetName val="MR01-人身保险公司利率风险"/>
      <sheetName val="MR02-再保险公司利率风险"/>
      <sheetName val="MR03-利率风险-债券类资产（未套保及不符合条件的套保）"/>
      <sheetName val="MR04-利率风险-资产证券化产品"/>
      <sheetName val="MR05-利率风险-利率类金融衍生品-利率互换"/>
      <sheetName val="MR06-利率风险-利率类金融衍生品-国债期货（符合条件套保）"/>
      <sheetName val="MR07-利率风险-利率类金融衍生品-国债期货（未套保）"/>
      <sheetName val="MR08-利率风险-其他固定收益类产品"/>
      <sheetName val="MR09-权益价格风险-股票(未套保及不符合条件的套保）"/>
      <sheetName val="MR10-权益价格风险-股票（符合条件的套期保值）"/>
      <sheetName val="MR11-权益价格风险-未上市股权"/>
      <sheetName val="MR12-权益价格风险-证券投资基金"/>
      <sheetName val="MR13-权益价格风险-证券投资基金（穿透法还原后持有）"/>
      <sheetName val="MR14-权益价格风险-可转债"/>
      <sheetName val="MR15-权益价格风险-基础设施股权投资计划"/>
      <sheetName val="MR16-权益价格风险-资产管理产品"/>
      <sheetName val="MR17-权益价格风险-未上市股权投资计划"/>
      <sheetName val="MR18-权益价格风险-权益类信托计划"/>
      <sheetName val="MR19-权益价格风险-股指期货空头（不符合有效性）"/>
      <sheetName val="MR20-权益价格风险-优先股"/>
      <sheetName val="MR21-权益价格风险-优先股（穿透法还原后持有）"/>
      <sheetName val="MR22-权益价格风险-对子公司、合营企业和联营企业的长股投"/>
      <sheetName val="MR23-房地产价格风险所涉资产风险明细表"/>
      <sheetName val="MR24-房地产价格风险所涉资产风险明细表（穿透法还原后持有）"/>
      <sheetName val="MR25-境外固定收益类资产价格风险所涉资产明细表"/>
      <sheetName val="MR26-境外权益类资产价格风险所涉资产明细表"/>
      <sheetName val="MR27-汇率风险所涉项目明细表-未套保及套保无效的外汇资产"/>
      <sheetName val="MR28-汇率风险所涉项目明细表-有效套保外汇资产（负债）"/>
      <sheetName val="MR29-汇率风险所涉项目明细表-无效套保外汇远期资产（负债）"/>
      <sheetName val="CR01-利差风险所涉资产明细表"/>
      <sheetName val="CR02-交易对手违约风险-现金及流动性管理工具"/>
      <sheetName val="CR03-交易对手违约风险-银行存款"/>
      <sheetName val="CR04-交易对手违约风险-金融债"/>
      <sheetName val="CR05-交易对手违约风险-企业债、公司债"/>
      <sheetName val="CR06-交易对手违约风险-资产证券化产品"/>
      <sheetName val="CR07-交易对手违约风险-商业银行理财产品"/>
      <sheetName val="CR08-交易对手违约风险-信托计划"/>
      <sheetName val="CR09-交易对手违约风险-可穿透信托计划明细数据"/>
      <sheetName val="CR10-交易对手违约风险-资产管理产品"/>
      <sheetName val="CR11-交易对手违约风险-基础设施债权投资计划"/>
      <sheetName val="CR12-交易对手违约风险-不动产债权投资计划"/>
      <sheetName val="CR13-交易对手违约风险-项目资产支持计划"/>
      <sheetName val="CR14-交易对手违约风险-套期保值外汇远期和利率互换"/>
      <sheetName val="CR15-财险和人身险公司交易对手违约风险-分出业务再保险资产"/>
      <sheetName val="CR16-再保险公司交易对手违约风险-分出业务再保险资产"/>
      <sheetName val="CR17-交易对手违约风险-分入业务再保险资产"/>
      <sheetName val="CR18-交易对手违约风险-应收保费"/>
      <sheetName val="CR19-交易对手违约风险-其他应收及预付款项"/>
      <sheetName val="CR20-交易对手违约风险-债务担保"/>
      <sheetName val="CR21-交易对手违约风险-保单质押贷款"/>
      <sheetName val="Database-分值计算"/>
      <sheetName val="Database-下拉框"/>
    </sheetNames>
    <sheetDataSet>
      <sheetData sheetId="0"/>
      <sheetData sheetId="1"/>
      <sheetData sheetId="2"/>
      <sheetData sheetId="3"/>
      <sheetData sheetId="4"/>
      <sheetData sheetId="5"/>
      <sheetData sheetId="6"/>
      <sheetData sheetId="7"/>
      <sheetData sheetId="8"/>
      <sheetData sheetId="9">
        <row r="7">
          <cell r="C7">
            <v>636.31256675362999</v>
          </cell>
        </row>
      </sheetData>
      <sheetData sheetId="10">
        <row r="6">
          <cell r="H6">
            <v>-91.80097148975085</v>
          </cell>
        </row>
      </sheetData>
      <sheetData sheetId="11"/>
      <sheetData sheetId="12">
        <row r="5">
          <cell r="C5">
            <v>3481.6554412579794</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0">
    <sheetNames>
      <sheetName val="保险公司信息表"/>
      <sheetName val="AceSol"/>
      <sheetName val="报表汇总"/>
      <sheetName val="计算结果表"/>
      <sheetName val="偿付能力状况表"/>
      <sheetName val="资产负债表"/>
      <sheetName val="认可资产表"/>
      <sheetName val="对子公司的长期股权投资"/>
      <sheetName val="非认可资产表"/>
      <sheetName val="权利受限资产表"/>
      <sheetName val="认可负债表"/>
      <sheetName val="资本性负债表"/>
      <sheetName val="实际资本表"/>
      <sheetName val="资本分级表"/>
      <sheetName val="资本调整表"/>
      <sheetName val="最低资本表"/>
      <sheetName val="最低资本-保险风险"/>
      <sheetName val="保险风险-保费、准备金风险"/>
      <sheetName val="保险公司保费、准备金风险数据"/>
      <sheetName val="保费、准备金风险因子"/>
      <sheetName val="保险风险计算过程"/>
      <sheetName val="再保险公司保费、准备金风险数据"/>
      <sheetName val="再保险保费、准备金风险因子"/>
      <sheetName val="再保险保费、准备金风险计算"/>
      <sheetName val="最低资本-市场风险"/>
      <sheetName val="市场风险-利率风险"/>
      <sheetName val="利率风险-债券类资产（未套保及不符合条件的套保）"/>
      <sheetName val="利率风险-资产证券化产品"/>
      <sheetName val="利率风险-利率类金融衍生品-利率互换"/>
      <sheetName val="利率风险-利率类金融衍生品-国债期货（符合条件套保）"/>
      <sheetName val="利率风险-利率类金融衍生品-国债期货（不符合条件套保）"/>
      <sheetName val="利率风险-上市公司公开发行的优先股"/>
      <sheetName val="利率风险-其他固定收益类产品"/>
      <sheetName val="市场风险-权益价格风险"/>
      <sheetName val="权益价格风险-股票(未套保及不符合条件的套保）"/>
      <sheetName val="权益价格风险-股票（套期保值）"/>
      <sheetName val="权益价格风险-未上市股权"/>
      <sheetName val="权益价格风险-证券投资基金"/>
      <sheetName val="权益价格风险-证券投资基金（穿透法下还原）"/>
      <sheetName val="权益价格风险-可转债"/>
      <sheetName val="权益价格风险-基础设施股权投资计划"/>
      <sheetName val="权益价格风险-资产管理产品"/>
      <sheetName val="权益价格风险-未上市股权投资计划"/>
      <sheetName val="权益价格风险-权益类信托计划"/>
      <sheetName val="权益价格风险-股指期货空头（不符合有效性）"/>
      <sheetName val="权益价格风险-非公开发行的优先股（权益工具）"/>
      <sheetName val="权益价格风险-非公开发行的优先股（权益工具）-穿透法下还原"/>
      <sheetName val="权益价格风险-对子公司、合营企业和联营企业的长期股权投资"/>
      <sheetName val="市场风险-房地产价格风险"/>
      <sheetName val="房地产价格风险所涉资产风险明细"/>
      <sheetName val="房地产价格风险所涉资产风险明细（穿透法下还原）"/>
      <sheetName val="市场风险-境外固定收益类资产价格风险"/>
      <sheetName val="境外固定收益价格风险所涉资产明细表"/>
      <sheetName val="市场风险-境外权益类资产价格风险"/>
      <sheetName val="境外权益价格风险所涉资产明细表"/>
      <sheetName val="市场风险-汇率风险"/>
      <sheetName val="汇率风险所涉项目明细表-未套保及套保无效的外汇资产（负债）"/>
      <sheetName val="汇率风险所涉项目明细表-有效套保外汇资产（负债）"/>
      <sheetName val="汇率风险所涉项目明细表-无效套保外汇资产（负债）"/>
      <sheetName val="最低资本-信用风险"/>
      <sheetName val="信用风险-利差风险最低资本"/>
      <sheetName val="利差风险所涉资产明细表"/>
      <sheetName val="信用风险-交易对手违约风险最低资本"/>
      <sheetName val="交易对手违约风险-现金流动性管理工具"/>
      <sheetName val="交易对手违约风险-银行存款"/>
      <sheetName val="交易对手违约风险-金融债"/>
      <sheetName val="交易对手违约风险-企业债、公司债"/>
      <sheetName val="交易对手违约风险-资产证券化产品"/>
      <sheetName val="交易对手违约风险-商业银行理财产品"/>
      <sheetName val="交易对手违约风险-信托计划"/>
      <sheetName val="交易对手违约风险-信托计划明细数据"/>
      <sheetName val="交易对手违约风险-资产管理产品"/>
      <sheetName val="交易对手违约风险-基础设施债权投资计划"/>
      <sheetName val="交易对手违约风险-不动产债权投资计划"/>
      <sheetName val="交易对手违约风险-项目资产支持计划"/>
      <sheetName val="交易对手违约风险-非公开发行的优先股（债务工具）"/>
      <sheetName val="交易对手违约风险-套期保值外汇远期和利率互换"/>
      <sheetName val="交易对手违约风险-分出业务再保险资产"/>
      <sheetName val="交易对手违约风险-分入业务再保险资产"/>
      <sheetName val="交易对手违约风险-应收保费"/>
      <sheetName val="交易对手违约风险-其他应收及预付款项"/>
      <sheetName val="交易对手违约风险-债务担保"/>
      <sheetName val="封面"/>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0">
    <sheetNames>
      <sheetName val="AceSol"/>
      <sheetName val="目录"/>
      <sheetName val="封皮"/>
      <sheetName val=" 偿付能力状况表"/>
      <sheetName val="实际资本表"/>
      <sheetName val="认可资产表"/>
      <sheetName val="认可负债表"/>
      <sheetName val="资本工具一览表"/>
      <sheetName val="最低资本-汇总表"/>
      <sheetName val="（保险公司）非寿险业务保险风险-巨灾风险"/>
      <sheetName val="（保险公司）非寿险业务保险风险-保费和准备金风险"/>
      <sheetName val="保费、准备金风险因子"/>
      <sheetName val="保险风险计算过程"/>
      <sheetName val="再保险公司保费、准备金风险数据"/>
      <sheetName val="（再保险公司）非寿险再保险业务保险风险-巨灾风险"/>
      <sheetName val="（再保险公司）非寿险再保险业务保险风险-保费和准备金风险"/>
      <sheetName val="(保险和再保险公司)寿险业务保险风险"/>
      <sheetName val="（人身保险公司）利率风险"/>
      <sheetName val="（再保险公司）利率风险"/>
      <sheetName val="利率风险-债券类资产（未套保及不符合条件的套保）"/>
      <sheetName val="利率风险-资产证券化产品"/>
      <sheetName val="利率风险-利率类金融衍生品-利率互换"/>
      <sheetName val="利率风险-利率类金融衍生品-国债期货（符合条件套保）"/>
      <sheetName val="利率风险-利率类金融衍生品-国债期货（不符合条件套保）"/>
      <sheetName val="利率风险-其他固定收益类产品"/>
      <sheetName val="权益价格风险-股票(未套保及不符合条件的套保）"/>
      <sheetName val="权益价格风险-股票（套期保值）"/>
      <sheetName val="权益价格风险-未上市股权"/>
      <sheetName val="权益价格风险-证券投资基金"/>
      <sheetName val="权益价格风险-证券投资基金（穿透法下还原）"/>
      <sheetName val="权益价格风险-可转债"/>
      <sheetName val="权益价格风险-基础设施股权投资计划"/>
      <sheetName val="权益价格风险-资产管理产品"/>
      <sheetName val="权益价格风险-未上市股权投资计划"/>
      <sheetName val="权益价格风险-权益类信托计划"/>
      <sheetName val="权益价格风险-股指期货空头（不符合有效性）"/>
      <sheetName val="权益价格风险-优先股"/>
      <sheetName val="权益价格风险-优先股（穿透法下还原）"/>
      <sheetName val="权益价格风险-对子公司、合营企业和联营企业的长期股权投资"/>
      <sheetName val="房地产价格风险所涉资产风险明细"/>
      <sheetName val="房地产价格风险所涉资产风险明细（穿透法下还原）"/>
      <sheetName val="境外固定收益价格风险所涉资产明细表"/>
      <sheetName val="境外权益价格风险所涉资产明细表"/>
      <sheetName val="汇率风险所涉项目明细表-未套保及套保无效的外汇资产（负债）"/>
      <sheetName val="汇率风险所涉项目明细表-有效套保外汇资产（负债）"/>
      <sheetName val="汇率风险所涉项目明细表-无效套保外汇资产（负债）"/>
      <sheetName val="利差风险所涉资产明细表"/>
      <sheetName val="交易对手违约风险-现金流动性管理工具"/>
      <sheetName val="交易对手违约风险-银行存款"/>
      <sheetName val="交易对手违约风险-金融债"/>
      <sheetName val="交易对手违约风险-企业债、公司债"/>
      <sheetName val="交易对手违约风险-资产证券化产品"/>
      <sheetName val="交易对手违约风险-商业银行理财产品"/>
      <sheetName val="交易对手违约风险-信托计划"/>
      <sheetName val="交易对手违约风险-信托计划明细数据"/>
      <sheetName val="交易对手违约风险-资产管理产品"/>
      <sheetName val="交易对手违约风险-基础设施债权投资计划"/>
      <sheetName val="交易对手违约风险-不动产债权投资计划"/>
      <sheetName val="交易对手违约风险-项目资产支持计划"/>
      <sheetName val="交易对手违约风险-套期保值外汇远期和利率互换"/>
      <sheetName val="交易对手违约风险-分出业务再保险资产"/>
      <sheetName val="交易对手违约风险-分入业务再保险资产"/>
      <sheetName val="交易对手违约风险-应收保费"/>
      <sheetName val="交易对手违约风险-其他应收及预付款项"/>
      <sheetName val="交易对手违约风险-债务担保"/>
      <sheetName val="交易对手违约风险-保单质押贷款"/>
      <sheetName val="信用风险-交易对手违约风险最低资本"/>
      <sheetName val="市场风险-权益价格风险"/>
      <sheetName val="市场风险-利率风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0">
    <sheetNames>
      <sheetName val="保险公司信息表"/>
      <sheetName val="AceSol"/>
      <sheetName val="报表汇总"/>
      <sheetName val="计算结果表"/>
      <sheetName val="偿付能力状况表"/>
      <sheetName val="资产负债表"/>
      <sheetName val="认可资产表"/>
      <sheetName val="对子公司的长期股权投资"/>
      <sheetName val="非认可资产表"/>
      <sheetName val="权利受限资产表"/>
      <sheetName val="认可负债表"/>
      <sheetName val="资本性负债表"/>
      <sheetName val="实际资本表"/>
      <sheetName val="资本分级表"/>
      <sheetName val="资本调整表"/>
      <sheetName val="最低资本表"/>
      <sheetName val="最低资本-保险风险"/>
      <sheetName val="保险风险-保费、准备金风险"/>
      <sheetName val="保险公司保费、准备金风险数据"/>
      <sheetName val="保费、准备金风险因子"/>
      <sheetName val="保险风险计算过程"/>
      <sheetName val="再保险公司保费、准备金风险数据"/>
      <sheetName val="再保险保费、准备金风险因子"/>
      <sheetName val="再保险保费、准备金风险计算"/>
      <sheetName val="最低资本-市场风险"/>
      <sheetName val="市场风险-利率风险"/>
      <sheetName val="利率风险-债券类资产（未套保及不符合条件的套保）"/>
      <sheetName val="利率风险-资产证券化产品"/>
      <sheetName val="利率风险-利率类金融衍生品-利率互换"/>
      <sheetName val="利率风险-利率类金融衍生品-国债期货（符合条件套保）"/>
      <sheetName val="利率风险-利率类金融衍生品-国债期货（不符合条件套保）"/>
      <sheetName val="利率风险-其他固定收益类产品"/>
      <sheetName val="市场风险-权益价格风险"/>
      <sheetName val="权益价格风险-股票(未套保及不符合条件的套保）"/>
      <sheetName val="权益价格风险-股票（套期保值）"/>
      <sheetName val="权益价格风险-未上市股权"/>
      <sheetName val="权益价格风险-证券投资基金"/>
      <sheetName val="权益价格风险-证券投资基金（穿透法下还原）"/>
      <sheetName val="权益价格风险-可转债"/>
      <sheetName val="权益价格风险-基础设施股权投资计划"/>
      <sheetName val="权益价格风险-资产管理产品"/>
      <sheetName val="权益价格风险-未上市股权投资计划"/>
      <sheetName val="权益价格风险-权益类信托计划"/>
      <sheetName val="权益价格风险-股指期货空头（不符合有效性）"/>
      <sheetName val="权益价格风险-优先股"/>
      <sheetName val="权益价格风险-优先股（穿透法下还原）"/>
      <sheetName val="权益价格风险-对子公司、合营企业和联营企业的长期股权投资"/>
      <sheetName val="市场风险-房地产价格风险"/>
      <sheetName val="房地产价格风险所涉资产风险明细"/>
      <sheetName val="房地产价格风险所涉资产风险明细（穿透法下还原）"/>
      <sheetName val="市场风险-境外固定收益类资产价格风险"/>
      <sheetName val="境外固定收益价格风险所涉资产明细表"/>
      <sheetName val="市场风险-境外权益类资产价格风险"/>
      <sheetName val="境外权益价格风险所涉资产明细表"/>
      <sheetName val="市场风险-汇率风险"/>
      <sheetName val="汇率风险所涉项目明细表-未套保及套保无效的外汇资产（负债）"/>
      <sheetName val="汇率风险所涉项目明细表-有效套保外汇资产（负债）"/>
      <sheetName val="汇率风险所涉项目明细表-无效套保外汇资产（负债）"/>
      <sheetName val="最低资本-信用风险"/>
      <sheetName val="信用风险-利差风险最低资本"/>
      <sheetName val="利差风险所涉资产明细表"/>
      <sheetName val="信用风险-交易对手违约风险最低资本"/>
      <sheetName val="交易对手违约风险-现金流动性管理工具"/>
      <sheetName val="交易对手违约风险-银行存款"/>
      <sheetName val="交易对手违约风险-金融债"/>
      <sheetName val="交易对手违约风险-企业债、公司债"/>
      <sheetName val="交易对手违约风险-资产证券化产品"/>
      <sheetName val="交易对手违约风险-商业银行理财产品"/>
      <sheetName val="交易对手违约风险-信托计划"/>
      <sheetName val="交易对手违约风险-信托计划明细数据"/>
      <sheetName val="交易对手违约风险-资产管理产品"/>
      <sheetName val="交易对手违约风险-基础设施债权投资计划"/>
      <sheetName val="交易对手违约风险-不动产债权投资计划"/>
      <sheetName val="交易对手违约风险-项目资产支持计划"/>
      <sheetName val="交易对手违约风险-套期保值外汇远期和利率互换"/>
      <sheetName val="交易对手违约风险-分出业务再保险资产"/>
      <sheetName val="交易对手违约风险-分入业务再保险资产"/>
      <sheetName val="交易对手违约风险-应收保费"/>
      <sheetName val="交易对手违约风险-其他应收及预付款项"/>
      <sheetName val="交易对手违约风险-债务担保"/>
      <sheetName val="（保险公司）非寿险业务保险风险-保费和准备金风险"/>
      <sheetName val="（保险公司）非寿险业务保险风险-巨灾风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7.xml><?xml version="1.0" encoding="utf-8"?>
<externalLink xmlns:r="http://schemas.openxmlformats.org/officeDocument/2006/relationships" xmlns="http://schemas.openxmlformats.org/spreadsheetml/2006/main">
  <externalBook r:id="rId0">
    <sheetNames>
      <sheetName val="个红_基本"/>
      <sheetName val="个红_退保2倍"/>
      <sheetName val="综合_个红"/>
      <sheetName val="非流动性"/>
      <sheetName val="graph"/>
      <sheetName val="市场风险-权益价格风险"/>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r="http://schemas.openxmlformats.org/officeDocument/2006/relationships" xmlns="http://schemas.openxmlformats.org/spreadsheetml/2006/main">
  <externalBook r:id="rId0">
    <sheetNames>
      <sheetName val="主界面"/>
      <sheetName val="支票领购与使用输入"/>
      <sheetName val="部门明细查询"/>
      <sheetName val="汇总表"/>
      <sheetName val="按日期查询"/>
      <sheetName val="支票打印"/>
      <sheetName val="字段"/>
      <sheetName val="参数假设"/>
      <sheetName val="综合_个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r="http://schemas.openxmlformats.org/officeDocument/2006/relationships" xmlns="http://schemas.openxmlformats.org/spreadsheetml/2006/main">
  <externalBook r:id="rId0">
    <sheetNames>
      <sheetName val="资产约束ewew"/>
      <sheetName val="资产约束"/>
      <sheetName val="自定义标签约束"/>
      <sheetName val="等效资产标签约束"/>
      <sheetName val="指标约束"/>
      <sheetName val="自定义指标"/>
      <sheetName val="其他输入"/>
      <sheetName val="相关性"/>
      <sheetName val="目标收益率"/>
    </sheetNames>
    <sheetDataSet>
      <sheetData sheetId="0"/>
      <sheetData sheetId="1"/>
      <sheetData sheetId="2"/>
      <sheetData sheetId="3"/>
      <sheetData sheetId="4"/>
      <sheetData sheetId="5">
        <row r="9">
          <cell r="B9">
            <v>3.7459598324714898E-2</v>
          </cell>
        </row>
        <row r="10">
          <cell r="B10">
            <v>6.0085556224574697E-2</v>
          </cell>
        </row>
      </sheetData>
      <sheetData sheetId="6"/>
      <sheetData sheetId="7"/>
      <sheetData sheetId="8"/>
    </sheetDataSet>
  </externalBook>
</externalLink>
</file>

<file path=xl/persons/person.xml><?xml version="1.0" encoding="utf-8"?>
<tc2018:personList xmlns:tc2018="http://schemas.microsoft.com/office/spreadsheetml/2018/threadedcomments" xmlns:mc="http://schemas.openxmlformats.org/markup-compatibility/2006" mc:Ignorable="tc2018">
  <tc2018:person displayName="641" id="{EBE250CB-63AA-4709-B7CE-2D3E79A711D9}"/>
</tc2018: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C4" dT="2026-02-06T02:00:45Z" personId="{EBE250CB-63AA-4709-B7CE-2D3E79A711D9}" id="{F3A1C3C4-86A3-4F1B-A915-4AFB29783FCD}">
    <tc2018:text>中债到期</tc2018:text>
  </tc2018:threadedComment>
</tc2018:ThreadedComments>
</file>

<file path=xl/threadedComments/threadedComment2.xml><?xml version="1.0" encoding="utf-8"?>
<tc2018:ThreadedComments xmlns:tc2018="http://schemas.microsoft.com/office/spreadsheetml/2018/threadedcomments" xmlns:mc="http://schemas.openxmlformats.org/markup-compatibility/2006" mc:Ignorable="tc2018">
  <tc2018:threadedComment ref="C3" dT="2026-02-06T02:00:45Z" personId="{EBE250CB-63AA-4709-B7CE-2D3E79A711D9}" id="{19E7E33A-834C-473A-AED2-2161807083B4}">
    <tc2018:text>中债到期</tc2018:text>
  </tc2018:threadedComment>
</tc2018:ThreadedComments>
</file>

<file path=xl/worksheets/_rels/sheet2.xml.rels><?xml version="1.0" encoding="UTF-8" standalone="yes"?><Relationships xmlns="http://schemas.openxmlformats.org/package/2006/relationships"><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_rels/sheet3.xml.rels><?xml version="1.0" encoding="UTF-8" standalone="yes"?><Relationships xmlns="http://schemas.openxmlformats.org/package/2006/relationships"><Relationship Id="rId2" Type="http://schemas.openxmlformats.org/officeDocument/2006/relationships/vmlDrawing" Target="../drawings/vmlDrawing2.vml" /><Relationship Id="rId0" Type="http://schemas.openxmlformats.org/officeDocument/2006/relationships/comments" Target="../comments2.xml" /><Relationship Id="rId1" Type="http://schemas.microsoft.com/office/2017/10/relationships/threadedComment" Target="../threadedComments/threadedComment2.xml" /></Relationships>
</file>

<file path=xl/worksheets/sheet1.xml><?xml version="1.0" encoding="utf-8"?>
<worksheet xmlns="http://schemas.openxmlformats.org/spreadsheetml/2006/main">
  <sheetPr codeName="Sheet1"/>
  <dimension ref="BN80"/>
  <sheetViews>
    <sheetView showGridLines="1" tabSelected="0" zoomScale="86" zoomScaleNormal="86" workbookViewId="0">
      <pane xSplit="2" ySplit="2" topLeftCell="C3" activePane="bottomRight" state="frozen"/>
    </sheetView>
  </sheetViews>
  <sheetFormatPr defaultColWidth="9" defaultRowHeight="14.25"/>
  <cols>
    <col min="1" max="1" width="12.625" customWidth="1"/>
    <col min="2" max="2" width="40.25" style="150" customWidth="1"/>
    <col min="3" max="3" width="39.25" style="150" customWidth="1"/>
    <col min="4" max="4" width="35.375" style="151" customWidth="1"/>
    <col min="5" max="7" width="37.25" style="151" customWidth="1"/>
    <col min="8" max="8" width="36.5" style="151" customWidth="1"/>
    <col min="9" max="9" width="38" style="151" customWidth="1"/>
    <col min="10" max="10" width="25.125" style="151" customWidth="1"/>
    <col min="11" max="11" width="30.625" style="151" customWidth="1"/>
    <col min="12" max="12" width="20.375" style="151" customWidth="1"/>
    <col min="13" max="16" width="26.375" style="151" customWidth="1"/>
    <col min="17" max="17" width="23.625" style="151" customWidth="1"/>
    <col min="18" max="18" width="31.25" style="151" customWidth="1"/>
    <col min="19" max="19" width="24.5" style="151" customWidth="1"/>
    <col min="20" max="20" width="19.75" style="151" customWidth="1"/>
    <col min="21" max="21" width="16.5" style="152" customWidth="1"/>
    <col min="22" max="22" width="28.5" style="151" customWidth="1"/>
    <col min="23" max="23" width="15.625" style="151" customWidth="1"/>
    <col min="24" max="24" width="40.25" style="151" customWidth="1"/>
    <col min="25" max="25" width="30.875" style="151" customWidth="1"/>
    <col min="26" max="26" width="26" style="151" customWidth="1"/>
    <col min="27" max="27" width="40.125" style="151" customWidth="1"/>
    <col min="28" max="28" width="49.375" style="151" customWidth="1"/>
    <col min="29" max="29" width="29.5" style="151" customWidth="1"/>
    <col min="30" max="30" width="17.375" style="151" customWidth="1"/>
    <col min="31" max="34" width="16.125" style="151" customWidth="1"/>
    <col min="35" max="38" width="18.5" style="151" customWidth="1"/>
    <col min="39" max="39" width="19.25" style="151" customWidth="1"/>
    <col min="40" max="43" width="21.5" style="151" customWidth="1"/>
    <col min="44" max="47" width="28" style="151" customWidth="1"/>
    <col min="48" max="52" width="27" style="151" customWidth="1"/>
    <col min="53" max="57" width="31.5" style="151" customWidth="1"/>
    <col min="58" max="58" width="18" style="151" customWidth="1"/>
    <col min="59" max="59" width="21" style="151" customWidth="1"/>
    <col min="60" max="60" width="52" style="151" customWidth="1"/>
    <col min="61" max="66" width="54.125" style="151" customWidth="1"/>
  </cols>
  <sheetData>
    <row r="2" spans="1:66" s="149" customFormat="1">
      <c r="A2" s="4">
        <v>45657</v>
      </c>
      <c r="B2" s="5" t="s">
        <v>1</v>
      </c>
      <c r="C2" s="5" t="s">
        <v>2</v>
      </c>
      <c r="D2" s="5" t="s">
        <v>3</v>
      </c>
      <c r="E2" s="6" t="s">
        <v>4</v>
      </c>
      <c r="F2" s="6" t="s">
        <v>5</v>
      </c>
      <c r="G2" s="6" t="s">
        <v>6</v>
      </c>
      <c r="H2" s="6" t="s">
        <v>7</v>
      </c>
      <c r="I2" s="5" t="s">
        <v>8</v>
      </c>
      <c r="J2" s="5" t="s">
        <v>9</v>
      </c>
      <c r="K2" s="5" t="s">
        <v>10</v>
      </c>
      <c r="L2" s="5" t="s">
        <v>11</v>
      </c>
      <c r="M2" s="5" t="s">
        <v>12</v>
      </c>
      <c r="N2" s="5" t="s">
        <v>13</v>
      </c>
      <c r="O2" s="5" t="s">
        <v>14</v>
      </c>
      <c r="P2" s="5" t="s">
        <v>15</v>
      </c>
      <c r="Q2" s="5" t="s">
        <v>16</v>
      </c>
      <c r="R2" s="5" t="s">
        <v>17</v>
      </c>
      <c r="S2" s="5" t="s">
        <v>18</v>
      </c>
      <c r="T2" s="5" t="s">
        <v>19</v>
      </c>
      <c r="U2" s="7" t="s">
        <v>20</v>
      </c>
      <c r="V2" s="5" t="s">
        <v>21</v>
      </c>
      <c r="W2" s="5" t="s">
        <v>22</v>
      </c>
      <c r="X2" s="5" t="s">
        <v>23</v>
      </c>
      <c r="Y2" s="5" t="s">
        <v>24</v>
      </c>
      <c r="Z2" s="5" t="s">
        <v>25</v>
      </c>
      <c r="AA2" s="5" t="s">
        <v>26</v>
      </c>
      <c r="AB2" s="5" t="s">
        <v>27</v>
      </c>
      <c r="AC2" s="5" t="s">
        <v>28</v>
      </c>
      <c r="AD2" s="5" t="s">
        <v>29</v>
      </c>
      <c r="AE2" s="5" t="s">
        <v>30</v>
      </c>
      <c r="AF2" s="5" t="s">
        <v>31</v>
      </c>
      <c r="AG2" s="5" t="s">
        <v>32</v>
      </c>
      <c r="AH2" s="5" t="s">
        <v>33</v>
      </c>
      <c r="AI2" s="5" t="s">
        <v>34</v>
      </c>
      <c r="AJ2" s="5" t="s">
        <v>35</v>
      </c>
      <c r="AK2" s="5" t="s">
        <v>36</v>
      </c>
      <c r="AL2" s="5" t="s">
        <v>37</v>
      </c>
      <c r="AM2" s="5" t="s">
        <v>38</v>
      </c>
      <c r="AN2" s="5" t="s">
        <v>39</v>
      </c>
      <c r="AO2" s="5" t="s">
        <v>40</v>
      </c>
      <c r="AP2" s="5" t="s">
        <v>41</v>
      </c>
      <c r="AQ2" s="5" t="s">
        <v>42</v>
      </c>
      <c r="AR2" s="5" t="s">
        <v>43</v>
      </c>
      <c r="AS2" s="5" t="s">
        <v>44</v>
      </c>
      <c r="AT2" s="5" t="s">
        <v>45</v>
      </c>
      <c r="AU2" s="5" t="s">
        <v>46</v>
      </c>
      <c r="AV2" s="5" t="s">
        <v>47</v>
      </c>
      <c r="AW2" s="5" t="s">
        <v>48</v>
      </c>
      <c r="AX2" s="5" t="s">
        <v>49</v>
      </c>
      <c r="AY2" s="5" t="s">
        <v>50</v>
      </c>
      <c r="AZ2" s="5" t="s">
        <v>51</v>
      </c>
      <c r="BA2" s="5" t="s">
        <v>52</v>
      </c>
      <c r="BB2" s="5" t="s">
        <v>53</v>
      </c>
      <c r="BC2" s="5" t="s">
        <v>54</v>
      </c>
      <c r="BD2" s="5" t="s">
        <v>55</v>
      </c>
      <c r="BE2" s="5" t="s">
        <v>56</v>
      </c>
      <c r="BF2" s="5" t="s">
        <v>57</v>
      </c>
      <c r="BG2" s="5" t="s">
        <v>58</v>
      </c>
      <c r="BH2" s="5" t="s">
        <v>59</v>
      </c>
      <c r="BI2" s="5" t="s">
        <v>60</v>
      </c>
      <c r="BJ2" s="5" t="s">
        <v>61</v>
      </c>
      <c r="BK2" s="5" t="s">
        <v>62</v>
      </c>
      <c r="BL2" s="5" t="s">
        <v>63</v>
      </c>
      <c r="BM2" s="5" t="s">
        <v>64</v>
      </c>
      <c r="BN2" s="8" t="s">
        <v>65</v>
      </c>
    </row>
    <row r="3" spans="1:66">
      <c r="A3" s="9">
        <v>3</v>
      </c>
      <c r="B3" s="9" t="s">
        <v>66</v>
      </c>
      <c r="C3" s="9" t="s">
        <v>66</v>
      </c>
      <c r="D3" s="9" t="s">
        <v>67</v>
      </c>
      <c r="E3" s="9" t="s">
        <v>68</v>
      </c>
      <c r="F3" s="9" t="s">
        <v>69</v>
      </c>
      <c r="G3" s="9" t="s">
        <v>66</v>
      </c>
      <c r="I3" s="9" t="s">
        <v>70</v>
      </c>
      <c r="J3" s="9" t="s">
        <v>71</v>
      </c>
      <c r="K3" s="9" t="s">
        <v>66</v>
      </c>
      <c r="L3" s="9" t="s">
        <v>72</v>
      </c>
      <c r="M3" s="10">
        <f>=IF($D3=配置调整!$A$5,VLOOKUP($K3,配置调整!$B$4:$O$29,6,0)*配置调整!$A$6,IF($D3=配置调整!$A$8,VLOOKUP($K3,配置调整!$B$4:$O$29,6,0)*配置调整!$A$9,IF($D3=配置调整!$A$11,VLOOKUP($K3,配置调整!$B$4:$O$29,6,0)*配置调整!$A$12,FALSE)))</f>
        <v>98950473.6447106</v>
      </c>
      <c r="N3" s="10">
        <f>=M3</f>
        <v>98950473.6447106</v>
      </c>
      <c r="O3" s="9">
        <v>0</v>
      </c>
      <c r="P3" s="11">
        <f>=M3</f>
        <v>98950473.6447106</v>
      </c>
      <c r="Q3" s="10">
        <f>=M3</f>
        <v>98950473.6447106</v>
      </c>
      <c r="R3" s="10">
        <f>=M3</f>
        <v>98950473.6447106</v>
      </c>
      <c r="S3" s="10">
        <v>0</v>
      </c>
      <c r="T3" s="12">
        <v>1</v>
      </c>
      <c r="U3" s="4">
        <f>=IF(OR(L3="标准固收类",L3="非标固收类"),$A$2,"")</f>
        <v>45657</v>
      </c>
      <c r="V3" s="4">
        <f>=IF(OR(L3="标准固收类",L3="非标固收类"),EOMONTH($A$2,12),"")</f>
        <v>46022</v>
      </c>
      <c r="W3" s="4">
        <f>=IF(OR(L3="标准固收类",L3="非标固收类"),EOMONTH($A$2,A3*12),"")</f>
        <v>46752</v>
      </c>
      <c r="X3" s="9" t="s">
        <v>73</v>
      </c>
      <c r="Y3" s="13">
        <f>=VLOOKUP(资产明细!K3,配置调整!$B$4:$C$29,2,0)</f>
        <v>0.011872</v>
      </c>
      <c r="Z3" s="9" t="s">
        <v>74</v>
      </c>
      <c r="AD3" s="10">
        <f>=P3</f>
        <v>98950473.6447106</v>
      </c>
      <c r="AI3" s="14" t="s"/>
      <c r="AJ3" s="14" t="s"/>
      <c r="AK3" s="14" t="s"/>
      <c r="AL3" s="14" t="s"/>
      <c r="AM3" s="13">
        <f>=IF(OR(L3="标准固收类",L3="非标固收类"),Y3,"")</f>
        <v>0.011872</v>
      </c>
      <c r="AN3" s="15" t="s"/>
      <c r="AO3" s="16" t="s"/>
      <c r="AP3" s="17" t="s"/>
      <c r="AQ3" s="17" t="s"/>
      <c r="AR3" s="17" t="s"/>
      <c r="AS3" s="17" t="s"/>
      <c r="AT3" s="17" t="s"/>
      <c r="AU3" s="17" t="s"/>
      <c r="AV3" s="18" t="s"/>
      <c r="AW3" s="18" t="s"/>
      <c r="AX3" s="18" t="s"/>
      <c r="AY3" s="18" t="s"/>
      <c r="AZ3" s="18" t="s"/>
      <c r="BA3" s="14" t="s"/>
      <c r="BB3" s="17" t="s"/>
      <c r="BC3" s="17" t="s"/>
      <c r="BD3" s="17" t="s"/>
      <c r="BE3" s="17" t="s"/>
      <c r="BF3" s="15">
        <f>=AM3</f>
        <v>0.011872</v>
      </c>
      <c r="BG3" s="13" t="s">
        <f>=IF(OR(L3="标准固收类",L3="非标固收类"),"",MIN(Y3,2%))</f>
      </c>
      <c r="BH3" s="19">
        <v>0</v>
      </c>
      <c r="BI3" s="20">
        <v>0.85</v>
      </c>
      <c r="BJ3" s="20" t="s"/>
      <c r="BK3" s="20" t="s"/>
      <c r="BL3" s="20" t="s"/>
      <c r="BM3" s="20" t="s"/>
      <c r="BN3" s="21" t="s"/>
    </row>
    <row r="4" spans="1:66">
      <c r="A4" s="9">
        <v>5</v>
      </c>
      <c r="B4" s="9" t="s">
        <v>75</v>
      </c>
      <c r="C4" s="9" t="s">
        <v>75</v>
      </c>
      <c r="D4" s="9" t="s">
        <v>67</v>
      </c>
      <c r="E4" s="9" t="s">
        <v>68</v>
      </c>
      <c r="F4" s="9" t="s">
        <v>69</v>
      </c>
      <c r="G4" s="9" t="s">
        <v>75</v>
      </c>
      <c r="I4" s="9" t="s">
        <v>76</v>
      </c>
      <c r="J4" s="9" t="s">
        <v>71</v>
      </c>
      <c r="K4" s="9" t="s">
        <v>75</v>
      </c>
      <c r="L4" s="9" t="s">
        <v>72</v>
      </c>
      <c r="M4" s="10">
        <f>=IF($D4=配置调整!$A$5,VLOOKUP($K4,配置调整!$B$4:$O$29,6,0)*配置调整!$A$6,IF($D4=配置调整!$A$8,VLOOKUP($K4,配置调整!$B$4:$O$29,6,0)*配置调整!$A$9,IF($D4=配置调整!$A$11,VLOOKUP($K4,配置调整!$B$4:$O$29,6,0)*配置调整!$A$12,FALSE)))</f>
        <v>208409706.4459</v>
      </c>
      <c r="N4" s="10">
        <f>=M4</f>
        <v>208409706.4459</v>
      </c>
      <c r="O4" s="9">
        <v>0</v>
      </c>
      <c r="P4" s="11">
        <f>=M4</f>
        <v>208409706.4459</v>
      </c>
      <c r="Q4" s="10">
        <f>=M4</f>
        <v>208409706.4459</v>
      </c>
      <c r="R4" s="10">
        <f>=M4</f>
        <v>208409706.4459</v>
      </c>
      <c r="S4" s="10">
        <v>0</v>
      </c>
      <c r="T4" s="12">
        <v>1</v>
      </c>
      <c r="U4" s="4">
        <f>=IF(OR(L4="标准固收类",L4="非标固收类"),$A$2,"")</f>
        <v>45657</v>
      </c>
      <c r="V4" s="4">
        <f>=IF(OR(L4="标准固收类",L4="非标固收类"),EOMONTH($A$2,12),"")</f>
        <v>46022</v>
      </c>
      <c r="W4" s="4">
        <f>=IF(OR(L4="标准固收类",L4="非标固收类"),EOMONTH($A$2,A4*12),"")</f>
        <v>47483</v>
      </c>
      <c r="X4" s="9" t="s">
        <v>73</v>
      </c>
      <c r="Y4" s="13">
        <f>=VLOOKUP(资产明细!K4,配置调整!$B$4:$C$29,2,0)</f>
        <v>0.014152</v>
      </c>
      <c r="Z4" s="9" t="s">
        <v>74</v>
      </c>
      <c r="AD4" s="10">
        <f>=P4</f>
        <v>208409706.4459</v>
      </c>
      <c r="AI4" s="14" t="s"/>
      <c r="AJ4" s="14" t="s"/>
      <c r="AK4" s="14" t="s"/>
      <c r="AL4" s="14" t="s"/>
      <c r="AM4" s="13">
        <f>=IF(OR(L4="标准固收类",L4="非标固收类"),Y4,"")</f>
        <v>0.014152</v>
      </c>
      <c r="AN4" s="18" t="s"/>
      <c r="AO4" s="17" t="s"/>
      <c r="AP4" s="17" t="s"/>
      <c r="AQ4" s="17" t="s"/>
      <c r="AR4" s="17" t="s"/>
      <c r="AS4" s="17" t="s"/>
      <c r="AT4" s="17" t="s"/>
      <c r="AU4" s="17" t="s"/>
      <c r="AV4" s="18" t="s"/>
      <c r="AW4" s="18" t="s"/>
      <c r="AX4" s="18" t="s"/>
      <c r="AY4" s="18" t="s"/>
      <c r="AZ4" s="18" t="s"/>
      <c r="BA4" s="14" t="s"/>
      <c r="BB4" s="17" t="s"/>
      <c r="BC4" s="17" t="s"/>
      <c r="BD4" s="17" t="s"/>
      <c r="BE4" s="17" t="s"/>
      <c r="BF4" s="15">
        <f>=AM4</f>
        <v>0.014152</v>
      </c>
      <c r="BG4" s="13" t="s">
        <f>=IF(OR(L4="标准固收类",L4="非标固收类"),"",MIN(Y4,2%))</f>
      </c>
      <c r="BH4" s="19">
        <v>0</v>
      </c>
      <c r="BI4" s="20">
        <v>0.85</v>
      </c>
      <c r="BJ4" s="20" t="s"/>
      <c r="BK4" s="20" t="s"/>
      <c r="BL4" s="20" t="s"/>
      <c r="BM4" s="20" t="s"/>
      <c r="BN4" s="21" t="s"/>
    </row>
    <row r="5" spans="1:66">
      <c r="A5" s="9">
        <v>10</v>
      </c>
      <c r="B5" s="9" t="s">
        <v>77</v>
      </c>
      <c r="C5" s="9" t="s">
        <v>77</v>
      </c>
      <c r="D5" s="9" t="s">
        <v>67</v>
      </c>
      <c r="E5" s="9" t="s">
        <v>68</v>
      </c>
      <c r="F5" s="9" t="s">
        <v>69</v>
      </c>
      <c r="G5" s="9" t="s">
        <v>77</v>
      </c>
      <c r="I5" s="9" t="s">
        <v>78</v>
      </c>
      <c r="J5" s="9" t="s">
        <v>71</v>
      </c>
      <c r="K5" s="9" t="s">
        <v>77</v>
      </c>
      <c r="L5" s="9" t="s">
        <v>72</v>
      </c>
      <c r="M5" s="10">
        <f>=IF($D5=配置调整!$A$5,VLOOKUP($K5,配置调整!$B$4:$O$29,6,0)*配置调整!$A$6,IF($D5=配置调整!$A$8,VLOOKUP($K5,配置调整!$B$4:$O$29,6,0)*配置调整!$A$9,IF($D5=配置调整!$A$11,VLOOKUP($K5,配置调整!$B$4:$O$29,6,0)*配置调整!$A$12,FALSE)))</f>
        <v>869345390.680024</v>
      </c>
      <c r="N5" s="10">
        <f>=M5</f>
        <v>869345390.680024</v>
      </c>
      <c r="O5" s="9">
        <v>0</v>
      </c>
      <c r="P5" s="11">
        <f>=M5</f>
        <v>869345390.680024</v>
      </c>
      <c r="Q5" s="10">
        <f>=M5</f>
        <v>869345390.680024</v>
      </c>
      <c r="R5" s="10">
        <f>=M5</f>
        <v>869345390.680024</v>
      </c>
      <c r="S5" s="10">
        <v>0</v>
      </c>
      <c r="T5" s="12">
        <v>1</v>
      </c>
      <c r="U5" s="4">
        <f>=IF(OR(L5="标准固收类",L5="非标固收类"),$A$2,"")</f>
        <v>45657</v>
      </c>
      <c r="V5" s="4">
        <f>=IF(OR(L5="标准固收类",L5="非标固收类"),EOMONTH($A$2,12),"")</f>
        <v>46022</v>
      </c>
      <c r="W5" s="4">
        <f>=IF(OR(L5="标准固收类",L5="非标固收类"),EOMONTH($A$2,A5*12),"")</f>
        <v>49309</v>
      </c>
      <c r="X5" s="9" t="s">
        <v>73</v>
      </c>
      <c r="Y5" s="13">
        <f>=VLOOKUP(资产明细!K5,配置调整!$B$4:$C$29,2,0)</f>
        <v>0.016752</v>
      </c>
      <c r="Z5" s="9" t="s">
        <v>74</v>
      </c>
      <c r="AD5" s="10">
        <f>=P5</f>
        <v>869345390.680024</v>
      </c>
      <c r="AI5" s="14" t="s"/>
      <c r="AJ5" s="14" t="s"/>
      <c r="AK5" s="14" t="s"/>
      <c r="AL5" s="14" t="s"/>
      <c r="AM5" s="13">
        <f>=IF(OR(L5="标准固收类",L5="非标固收类"),Y5,"")</f>
        <v>0.016752</v>
      </c>
      <c r="AN5" s="15" t="s"/>
      <c r="AO5" s="16" t="s"/>
      <c r="AP5" s="17" t="s"/>
      <c r="AQ5" s="17" t="s"/>
      <c r="AR5" s="17" t="s"/>
      <c r="AS5" s="17" t="s"/>
      <c r="AT5" s="17" t="s"/>
      <c r="AU5" s="17" t="s"/>
      <c r="AV5" s="18" t="s"/>
      <c r="AW5" s="18" t="s"/>
      <c r="AX5" s="18" t="s"/>
      <c r="AY5" s="18" t="s"/>
      <c r="AZ5" s="18" t="s"/>
      <c r="BA5" s="14" t="s"/>
      <c r="BB5" s="17" t="s"/>
      <c r="BC5" s="17" t="s"/>
      <c r="BD5" s="17" t="s"/>
      <c r="BE5" s="17" t="s"/>
      <c r="BF5" s="15">
        <f>=AM5</f>
        <v>0.016752</v>
      </c>
      <c r="BG5" s="13" t="s">
        <f>=IF(OR(L5="标准固收类",L5="非标固收类"),"",MIN(Y5,2%))</f>
      </c>
      <c r="BH5" s="19">
        <v>0</v>
      </c>
      <c r="BI5" s="20">
        <v>0.85</v>
      </c>
      <c r="BJ5" s="20" t="s"/>
      <c r="BK5" s="20" t="s"/>
      <c r="BL5" s="20" t="s"/>
      <c r="BM5" s="20" t="s"/>
      <c r="BN5" s="21" t="s"/>
    </row>
    <row r="6" spans="1:66">
      <c r="A6" s="9">
        <v>20</v>
      </c>
      <c r="B6" s="9" t="s">
        <v>79</v>
      </c>
      <c r="C6" s="9" t="s">
        <v>79</v>
      </c>
      <c r="D6" s="9" t="s">
        <v>67</v>
      </c>
      <c r="E6" s="9" t="s">
        <v>68</v>
      </c>
      <c r="F6" s="9" t="s">
        <v>69</v>
      </c>
      <c r="G6" s="9" t="s">
        <v>79</v>
      </c>
      <c r="I6" s="9" t="s">
        <v>80</v>
      </c>
      <c r="J6" s="9" t="s">
        <v>71</v>
      </c>
      <c r="K6" s="9" t="s">
        <v>79</v>
      </c>
      <c r="L6" s="9" t="s">
        <v>72</v>
      </c>
      <c r="M6" s="10">
        <f>=IF($D6=配置调整!$A$5,VLOOKUP($K6,配置调整!$B$4:$O$29,6,0)*配置调整!$A$6,IF($D6=配置调整!$A$8,VLOOKUP($K6,配置调整!$B$4:$O$29,6,0)*配置调整!$A$9,IF($D6=配置调整!$A$11,VLOOKUP($K6,配置调整!$B$4:$O$29,6,0)*配置调整!$A$12,FALSE)))</f>
        <v>3801995679.48858</v>
      </c>
      <c r="N6" s="10">
        <f>=M6</f>
        <v>3801995679.48858</v>
      </c>
      <c r="O6" s="9">
        <v>0</v>
      </c>
      <c r="P6" s="11">
        <f>=M6</f>
        <v>3801995679.48858</v>
      </c>
      <c r="Q6" s="10">
        <f>=M6</f>
        <v>3801995679.48858</v>
      </c>
      <c r="R6" s="10">
        <f>=M6</f>
        <v>3801995679.48858</v>
      </c>
      <c r="S6" s="10">
        <v>0</v>
      </c>
      <c r="T6" s="12">
        <v>1</v>
      </c>
      <c r="U6" s="4">
        <f>=IF(OR(L6="标准固收类",L6="非标固收类"),$A$2,"")</f>
        <v>45657</v>
      </c>
      <c r="V6" s="4">
        <f>=IF(OR(L6="标准固收类",L6="非标固收类"),EOMONTH($A$2,12),"")</f>
        <v>46022</v>
      </c>
      <c r="W6" s="4">
        <f>=IF(OR(L6="标准固收类",L6="非标固收类"),EOMONTH($A$2,A6*12),"")</f>
        <v>52962</v>
      </c>
      <c r="X6" s="9" t="s">
        <v>73</v>
      </c>
      <c r="Y6" s="13">
        <f>=VLOOKUP(资产明细!K6,配置调整!$B$4:$C$29,2,0)</f>
        <v>0.019747</v>
      </c>
      <c r="Z6" s="9" t="s">
        <v>74</v>
      </c>
      <c r="AD6" s="10">
        <f>=P6</f>
        <v>3801995679.48858</v>
      </c>
      <c r="AI6" s="14" t="s"/>
      <c r="AJ6" s="14" t="s"/>
      <c r="AK6" s="14" t="s"/>
      <c r="AL6" s="14" t="s"/>
      <c r="AM6" s="13">
        <f>=IF(OR(L6="标准固收类",L6="非标固收类"),Y6,"")</f>
        <v>0.019747</v>
      </c>
      <c r="AN6" s="18" t="s"/>
      <c r="AO6" s="17" t="s"/>
      <c r="AP6" s="17" t="s"/>
      <c r="AQ6" s="17" t="s"/>
      <c r="AR6" s="17" t="s"/>
      <c r="AS6" s="17" t="s"/>
      <c r="AT6" s="17" t="s"/>
      <c r="AU6" s="17" t="s"/>
      <c r="AV6" s="18" t="s"/>
      <c r="AW6" s="18" t="s"/>
      <c r="AX6" s="18" t="s"/>
      <c r="AY6" s="18" t="s"/>
      <c r="AZ6" s="18" t="s"/>
      <c r="BA6" s="14" t="s"/>
      <c r="BB6" s="17" t="s"/>
      <c r="BC6" s="17" t="s"/>
      <c r="BD6" s="17" t="s"/>
      <c r="BE6" s="17" t="s"/>
      <c r="BF6" s="15">
        <f>=AM6</f>
        <v>0.019747</v>
      </c>
      <c r="BG6" s="13" t="s">
        <f>=IF(OR(L6="标准固收类",L6="非标固收类"),"",MIN(Y6,2%))</f>
      </c>
      <c r="BH6" s="19">
        <v>0</v>
      </c>
      <c r="BI6" s="20">
        <v>0.85</v>
      </c>
      <c r="BJ6" s="20" t="s"/>
      <c r="BK6" s="20" t="s"/>
      <c r="BL6" s="20" t="s"/>
      <c r="BM6" s="20" t="s"/>
      <c r="BN6" s="21" t="s"/>
    </row>
    <row r="7" spans="1:66">
      <c r="A7" s="9">
        <v>50</v>
      </c>
      <c r="B7" s="9" t="s">
        <v>81</v>
      </c>
      <c r="C7" s="9" t="s">
        <v>81</v>
      </c>
      <c r="D7" s="9" t="s">
        <v>67</v>
      </c>
      <c r="E7" s="9" t="s">
        <v>68</v>
      </c>
      <c r="F7" s="9" t="s">
        <v>69</v>
      </c>
      <c r="G7" s="9" t="s">
        <v>81</v>
      </c>
      <c r="I7" s="9" t="s">
        <v>82</v>
      </c>
      <c r="J7" s="9" t="s">
        <v>71</v>
      </c>
      <c r="K7" s="9" t="s">
        <v>81</v>
      </c>
      <c r="L7" s="9" t="s">
        <v>72</v>
      </c>
      <c r="M7" s="10">
        <f>=IF($D7=配置调整!$A$5,VLOOKUP($K7,配置调整!$B$4:$O$29,6,0)*配置调整!$A$6,IF($D7=配置调整!$A$8,VLOOKUP($K7,配置调整!$B$4:$O$29,6,0)*配置调整!$A$9,IF($D7=配置调整!$A$11,VLOOKUP($K7,配置调整!$B$4:$O$29,6,0)*配置调整!$A$12,FALSE)))</f>
        <v>5514830274.8757</v>
      </c>
      <c r="N7" s="10">
        <f>=M7</f>
        <v>5514830274.8757</v>
      </c>
      <c r="O7" s="9">
        <v>0</v>
      </c>
      <c r="P7" s="11">
        <f>=M7</f>
        <v>5514830274.8757</v>
      </c>
      <c r="Q7" s="10">
        <f>=M7</f>
        <v>5514830274.8757</v>
      </c>
      <c r="R7" s="10">
        <f>=M7</f>
        <v>5514830274.8757</v>
      </c>
      <c r="S7" s="10">
        <v>0</v>
      </c>
      <c r="T7" s="12">
        <v>1</v>
      </c>
      <c r="U7" s="4">
        <f>=IF(OR(L7="标准固收类",L7="非标固收类"),$A$2,"")</f>
        <v>45657</v>
      </c>
      <c r="V7" s="4">
        <f>=IF(OR(L7="标准固收类",L7="非标固收类"),EOMONTH($A$2,12),"")</f>
        <v>46022</v>
      </c>
      <c r="W7" s="4">
        <f>=IF(OR(L7="标准固收类",L7="非标固收类"),EOMONTH($A$2,A7*12),"")</f>
        <v>63919</v>
      </c>
      <c r="X7" s="9" t="s">
        <v>73</v>
      </c>
      <c r="Y7" s="13">
        <f>=VLOOKUP(资产明细!K7,配置调整!$B$4:$C$29,2,0)</f>
        <v>0.019875</v>
      </c>
      <c r="Z7" s="9" t="s">
        <v>74</v>
      </c>
      <c r="AD7" s="10">
        <f>=P7</f>
        <v>5514830274.8757</v>
      </c>
      <c r="AI7" s="14" t="s"/>
      <c r="AJ7" s="14" t="s"/>
      <c r="AK7" s="14" t="s"/>
      <c r="AL7" s="14" t="s"/>
      <c r="AM7" s="13">
        <f>=IF(OR(L7="标准固收类",L7="非标固收类"),Y7,"")</f>
        <v>0.019875</v>
      </c>
      <c r="AN7" s="18" t="s"/>
      <c r="AO7" s="17" t="s"/>
      <c r="AP7" s="17" t="s"/>
      <c r="AQ7" s="17" t="s"/>
      <c r="AR7" s="17" t="s"/>
      <c r="AS7" s="17" t="s"/>
      <c r="AT7" s="17" t="s"/>
      <c r="AU7" s="17" t="s"/>
      <c r="AV7" s="18" t="s"/>
      <c r="AW7" s="18" t="s"/>
      <c r="AX7" s="18" t="s"/>
      <c r="AY7" s="18" t="s"/>
      <c r="AZ7" s="18" t="s"/>
      <c r="BA7" s="14" t="s"/>
      <c r="BB7" s="17" t="s"/>
      <c r="BC7" s="17" t="s"/>
      <c r="BD7" s="17" t="s"/>
      <c r="BE7" s="17" t="s"/>
      <c r="BF7" s="15">
        <f>=AM7</f>
        <v>0.019875</v>
      </c>
      <c r="BG7" s="13" t="s">
        <f>=IF(OR(L7="标准固收类",L7="非标固收类"),"",MIN(Y7,2%))</f>
      </c>
      <c r="BH7" s="19">
        <v>0</v>
      </c>
      <c r="BI7" s="20">
        <v>0.85</v>
      </c>
      <c r="BJ7" s="20" t="s"/>
      <c r="BK7" s="20" t="s"/>
      <c r="BL7" s="20" t="s"/>
      <c r="BM7" s="20" t="s"/>
      <c r="BN7" s="21" t="s"/>
    </row>
    <row r="8" spans="1:66">
      <c r="A8" s="9">
        <v>3</v>
      </c>
      <c r="B8" s="9" t="s">
        <v>83</v>
      </c>
      <c r="C8" s="22" t="s">
        <v>83</v>
      </c>
      <c r="D8" s="9" t="s">
        <v>67</v>
      </c>
      <c r="E8" s="9" t="s">
        <v>68</v>
      </c>
      <c r="F8" s="22" t="s">
        <v>84</v>
      </c>
      <c r="G8" s="9" t="s">
        <v>83</v>
      </c>
      <c r="H8" s="22" t="s"/>
      <c r="I8" s="9" t="s">
        <v>85</v>
      </c>
      <c r="J8" s="9" t="s">
        <v>71</v>
      </c>
      <c r="K8" s="22" t="s">
        <v>86</v>
      </c>
      <c r="L8" s="9" t="s">
        <v>72</v>
      </c>
      <c r="M8" s="10">
        <f>=IF($D8=配置调整!$A$5,VLOOKUP($K8,配置调整!$B$4:$O$29,6,0)*配置调整!$A$6,IF($D8=配置调整!$A$8,VLOOKUP($K8,配置调整!$B$4:$O$29,6,0)*配置调整!$A$9,IF($D8=配置调整!$A$11,VLOOKUP($K8,配置调整!$B$4:$O$29,6,0)*配置调整!$A$12,FALSE)))</f>
        <v>1818525684.45735</v>
      </c>
      <c r="N8" s="10">
        <f>=M8</f>
        <v>1818525684.45735</v>
      </c>
      <c r="O8" s="9">
        <v>0</v>
      </c>
      <c r="P8" s="11">
        <f>=M8</f>
        <v>1818525684.45735</v>
      </c>
      <c r="Q8" s="10">
        <f>=M8</f>
        <v>1818525684.45735</v>
      </c>
      <c r="R8" s="10">
        <f>=M8</f>
        <v>1818525684.45735</v>
      </c>
      <c r="S8" s="10">
        <v>0</v>
      </c>
      <c r="T8" s="12">
        <v>1</v>
      </c>
      <c r="U8" s="4">
        <f>=IF(OR(L8="标准固收类",L8="非标固收类"),$A$2,"")</f>
        <v>45657</v>
      </c>
      <c r="V8" s="4">
        <f>=IF(OR(L8="标准固收类",L8="非标固收类"),EOMONTH($A$2,12),"")</f>
        <v>46022</v>
      </c>
      <c r="W8" s="4">
        <f>=IF(OR(L8="标准固收类",L8="非标固收类"),EOMONTH($A$2,A8*12),"")</f>
        <v>46752</v>
      </c>
      <c r="X8" s="9" t="s">
        <v>73</v>
      </c>
      <c r="Y8" s="13">
        <f>=VLOOKUP(资产明细!K8,配置调整!$B$4:$C$29,2,0)</f>
        <v>0.017501</v>
      </c>
      <c r="Z8" s="9" t="s">
        <v>74</v>
      </c>
      <c r="AA8" s="22" t="s">
        <v>87</v>
      </c>
      <c r="AB8" s="22" t="s"/>
      <c r="AC8" s="22" t="s"/>
      <c r="AD8" s="10">
        <f>=P8</f>
        <v>1818525684.45735</v>
      </c>
      <c r="AE8" s="23" t="s"/>
      <c r="AF8" s="23" t="s"/>
      <c r="AG8" s="23" t="s"/>
      <c r="AH8" s="23" t="s"/>
      <c r="AI8" s="14" t="s"/>
      <c r="AJ8" s="14" t="s"/>
      <c r="AK8" s="14" t="s"/>
      <c r="AL8" s="14" t="s"/>
      <c r="AM8" s="13">
        <f>=IF(OR(L8="标准固收类",L8="非标固收类"),Y8,"")</f>
        <v>0.017501</v>
      </c>
      <c r="AN8" s="18" t="s"/>
      <c r="AO8" s="17" t="s"/>
      <c r="AP8" s="17" t="s"/>
      <c r="AQ8" s="17" t="s"/>
      <c r="AR8" s="17" t="s"/>
      <c r="AS8" s="17" t="s"/>
      <c r="AT8" s="17" t="s"/>
      <c r="AU8" s="17" t="s"/>
      <c r="AV8" s="18" t="s"/>
      <c r="AW8" s="18" t="s"/>
      <c r="AX8" s="18" t="s"/>
      <c r="AY8" s="18" t="s"/>
      <c r="AZ8" s="18" t="s"/>
      <c r="BA8" s="14" t="s"/>
      <c r="BB8" s="17" t="s"/>
      <c r="BC8" s="17" t="s"/>
      <c r="BD8" s="17" t="s"/>
      <c r="BE8" s="17" t="s"/>
      <c r="BF8" s="15">
        <f>=AM8</f>
        <v>0.017501</v>
      </c>
      <c r="BG8" s="13" t="s">
        <f>=IF(OR(L8="标准固收类",L8="非标固收类"),"",MIN(Y8,2%))</f>
      </c>
      <c r="BH8" s="19">
        <v>0</v>
      </c>
      <c r="BI8" s="20">
        <v>0.85</v>
      </c>
      <c r="BJ8" s="20" t="s"/>
      <c r="BK8" s="20" t="s"/>
      <c r="BL8" s="20" t="s"/>
      <c r="BM8" s="20" t="s"/>
      <c r="BN8" s="21" t="s"/>
    </row>
    <row r="9" spans="1:66">
      <c r="A9" s="9">
        <v>5</v>
      </c>
      <c r="B9" s="9" t="s">
        <v>88</v>
      </c>
      <c r="C9" s="22" t="s">
        <v>88</v>
      </c>
      <c r="D9" s="9" t="s">
        <v>67</v>
      </c>
      <c r="E9" s="9" t="s">
        <v>68</v>
      </c>
      <c r="F9" s="22" t="s">
        <v>84</v>
      </c>
      <c r="G9" s="9" t="s">
        <v>88</v>
      </c>
      <c r="H9" s="22" t="s"/>
      <c r="I9" s="9" t="s">
        <v>89</v>
      </c>
      <c r="J9" s="9" t="s">
        <v>71</v>
      </c>
      <c r="K9" s="22" t="s">
        <v>90</v>
      </c>
      <c r="L9" s="9" t="s">
        <v>72</v>
      </c>
      <c r="M9" s="10">
        <f>=IF($D9=配置调整!$A$5,VLOOKUP($K9,配置调整!$B$4:$O$29,6,0)*配置调整!$A$6,IF($D9=配置调整!$A$8,VLOOKUP($K9,配置调整!$B$4:$O$29,6,0)*配置调整!$A$9,IF($D9=配置调整!$A$11,VLOOKUP($K9,配置调整!$B$4:$O$29,6,0)*配置调整!$A$12,FALSE)))</f>
        <v>159929564.263821</v>
      </c>
      <c r="N9" s="10">
        <f>=M9</f>
        <v>159929564.263821</v>
      </c>
      <c r="O9" s="9">
        <v>0</v>
      </c>
      <c r="P9" s="11">
        <f>=M9</f>
        <v>159929564.263821</v>
      </c>
      <c r="Q9" s="10">
        <f>=M9</f>
        <v>159929564.263821</v>
      </c>
      <c r="R9" s="10">
        <f>=M9</f>
        <v>159929564.263821</v>
      </c>
      <c r="S9" s="10">
        <v>0</v>
      </c>
      <c r="T9" s="12">
        <v>1</v>
      </c>
      <c r="U9" s="4">
        <f>=IF(OR(L9="标准固收类",L9="非标固收类"),$A$2,"")</f>
        <v>45657</v>
      </c>
      <c r="V9" s="4">
        <f>=IF(OR(L9="标准固收类",L9="非标固收类"),EOMONTH($A$2,12),"")</f>
        <v>46022</v>
      </c>
      <c r="W9" s="4">
        <f>=IF(OR(L9="标准固收类",L9="非标固收类"),EOMONTH($A$2,A9*12),"")</f>
        <v>47483</v>
      </c>
      <c r="X9" s="9" t="s">
        <v>73</v>
      </c>
      <c r="Y9" s="13">
        <f>=VLOOKUP(资产明细!K9,配置调整!$B$4:$C$29,2,0)</f>
        <v>0.018727</v>
      </c>
      <c r="Z9" s="9" t="s">
        <v>74</v>
      </c>
      <c r="AA9" s="22" t="s">
        <v>91</v>
      </c>
      <c r="AB9" s="22" t="s"/>
      <c r="AC9" s="22" t="s"/>
      <c r="AD9" s="10">
        <f>=P9</f>
        <v>159929564.263821</v>
      </c>
      <c r="AE9" s="23" t="s"/>
      <c r="AF9" s="23" t="s"/>
      <c r="AG9" s="23" t="s"/>
      <c r="AH9" s="23" t="s"/>
      <c r="AI9" s="14" t="s"/>
      <c r="AJ9" s="14" t="s"/>
      <c r="AK9" s="14" t="s"/>
      <c r="AL9" s="14" t="s"/>
      <c r="AM9" s="13">
        <f>=IF(OR(L9="标准固收类",L9="非标固收类"),Y9,"")</f>
        <v>0.018727</v>
      </c>
      <c r="AN9" s="15" t="s"/>
      <c r="AO9" s="16" t="s"/>
      <c r="AP9" s="17" t="s"/>
      <c r="AQ9" s="17" t="s"/>
      <c r="AR9" s="17" t="s"/>
      <c r="AS9" s="17" t="s"/>
      <c r="AT9" s="17" t="s"/>
      <c r="AU9" s="17" t="s"/>
      <c r="AV9" s="18" t="s"/>
      <c r="AW9" s="18" t="s"/>
      <c r="AX9" s="18" t="s"/>
      <c r="AY9" s="18" t="s"/>
      <c r="AZ9" s="18" t="s"/>
      <c r="BA9" s="14" t="s"/>
      <c r="BB9" s="17" t="s"/>
      <c r="BC9" s="17" t="s"/>
      <c r="BD9" s="17" t="s"/>
      <c r="BE9" s="17" t="s"/>
      <c r="BF9" s="15">
        <f>=AM9</f>
        <v>0.018727</v>
      </c>
      <c r="BG9" s="13" t="s">
        <f>=IF(OR(L9="标准固收类",L9="非标固收类"),"",MIN(Y9,2%))</f>
      </c>
      <c r="BH9" s="19">
        <v>0</v>
      </c>
      <c r="BI9" s="20">
        <v>0.85</v>
      </c>
      <c r="BJ9" s="20" t="s"/>
      <c r="BK9" s="20" t="s"/>
      <c r="BL9" s="20" t="s"/>
      <c r="BM9" s="20" t="s"/>
      <c r="BN9" s="21" t="s"/>
    </row>
    <row r="10" spans="1:66">
      <c r="A10" s="9">
        <v>10</v>
      </c>
      <c r="B10" s="9" t="s">
        <v>92</v>
      </c>
      <c r="C10" s="22" t="s">
        <v>92</v>
      </c>
      <c r="D10" s="9" t="s">
        <v>67</v>
      </c>
      <c r="E10" s="9" t="s">
        <v>68</v>
      </c>
      <c r="F10" s="22" t="s">
        <v>84</v>
      </c>
      <c r="G10" s="9" t="s">
        <v>92</v>
      </c>
      <c r="H10" s="22" t="s"/>
      <c r="I10" s="9" t="s">
        <v>93</v>
      </c>
      <c r="J10" s="9" t="s">
        <v>71</v>
      </c>
      <c r="K10" s="22" t="s">
        <v>94</v>
      </c>
      <c r="L10" s="9" t="s">
        <v>72</v>
      </c>
      <c r="M10" s="10">
        <f>=IF($D10=配置调整!$A$5,VLOOKUP($K10,配置调整!$B$4:$O$29,6,0)*配置调整!$A$6,IF($D10=配置调整!$A$8,VLOOKUP($K10,配置调整!$B$4:$O$29,6,0)*配置调整!$A$9,IF($D10=配置调整!$A$11,VLOOKUP($K10,配置调整!$B$4:$O$29,6,0)*配置调整!$A$12,FALSE)))</f>
        <v>1046949778.91308</v>
      </c>
      <c r="N10" s="10">
        <f>=M10</f>
        <v>1046949778.91308</v>
      </c>
      <c r="O10" s="9">
        <v>0</v>
      </c>
      <c r="P10" s="11">
        <f>=M10</f>
        <v>1046949778.91308</v>
      </c>
      <c r="Q10" s="10">
        <f>=M10</f>
        <v>1046949778.91308</v>
      </c>
      <c r="R10" s="10">
        <f>=M10</f>
        <v>1046949778.91308</v>
      </c>
      <c r="S10" s="10">
        <v>0</v>
      </c>
      <c r="T10" s="12">
        <v>1</v>
      </c>
      <c r="U10" s="4">
        <f>=IF(OR(L10="标准固收类",L10="非标固收类"),$A$2,"")</f>
        <v>45657</v>
      </c>
      <c r="V10" s="4">
        <f>=IF(OR(L10="标准固收类",L10="非标固收类"),EOMONTH($A$2,12),"")</f>
        <v>46022</v>
      </c>
      <c r="W10" s="4">
        <f>=IF(OR(L10="标准固收类",L10="非标固收类"),EOMONTH($A$2,A10*12),"")</f>
        <v>49309</v>
      </c>
      <c r="X10" s="9" t="s">
        <v>73</v>
      </c>
      <c r="Y10" s="13">
        <f>=VLOOKUP(资产明细!K10,配置调整!$B$4:$C$29,2,0)</f>
        <v>0.021173</v>
      </c>
      <c r="Z10" s="9" t="s">
        <v>74</v>
      </c>
      <c r="AA10" s="22" t="s">
        <v>91</v>
      </c>
      <c r="AB10" s="22" t="s"/>
      <c r="AC10" s="22" t="s"/>
      <c r="AD10" s="10">
        <f>=P10</f>
        <v>1046949778.91308</v>
      </c>
      <c r="AE10" s="23" t="s"/>
      <c r="AF10" s="23" t="s"/>
      <c r="AG10" s="23" t="s"/>
      <c r="AH10" s="23" t="s"/>
      <c r="AI10" s="14" t="s"/>
      <c r="AJ10" s="14" t="s"/>
      <c r="AK10" s="14" t="s"/>
      <c r="AL10" s="14" t="s"/>
      <c r="AM10" s="13">
        <f>=IF(OR(L10="标准固收类",L10="非标固收类"),Y10,"")</f>
        <v>0.021173</v>
      </c>
      <c r="AN10" s="15" t="s"/>
      <c r="AO10" s="16" t="s"/>
      <c r="AP10" s="17" t="s"/>
      <c r="AQ10" s="17" t="s"/>
      <c r="AR10" s="17" t="s"/>
      <c r="AS10" s="17" t="s"/>
      <c r="AT10" s="17" t="s"/>
      <c r="AU10" s="17" t="s"/>
      <c r="AV10" s="18" t="s"/>
      <c r="AW10" s="18" t="s"/>
      <c r="AX10" s="18" t="s"/>
      <c r="AY10" s="18" t="s"/>
      <c r="AZ10" s="18" t="s"/>
      <c r="BA10" s="14" t="s"/>
      <c r="BB10" s="17" t="s"/>
      <c r="BC10" s="17" t="s"/>
      <c r="BD10" s="17" t="s"/>
      <c r="BE10" s="17" t="s"/>
      <c r="BF10" s="15">
        <f>=AM10</f>
        <v>0.021173</v>
      </c>
      <c r="BG10" s="13" t="s">
        <f>=IF(OR(L10="标准固收类",L10="非标固收类"),"",MIN(Y10,2%))</f>
      </c>
      <c r="BH10" s="19">
        <v>0</v>
      </c>
      <c r="BI10" s="20">
        <v>0.85</v>
      </c>
      <c r="BJ10" s="20" t="s"/>
      <c r="BK10" s="20" t="s"/>
      <c r="BL10" s="20" t="s"/>
      <c r="BM10" s="20" t="s"/>
      <c r="BN10" s="21" t="s"/>
    </row>
    <row r="11" spans="1:66">
      <c r="A11" s="9">
        <v>3</v>
      </c>
      <c r="B11" s="9" t="s">
        <v>95</v>
      </c>
      <c r="C11" s="22" t="s">
        <v>95</v>
      </c>
      <c r="D11" s="9" t="s">
        <v>67</v>
      </c>
      <c r="E11" s="9" t="s">
        <v>68</v>
      </c>
      <c r="F11" s="22" t="s">
        <v>96</v>
      </c>
      <c r="G11" s="9" t="s">
        <v>95</v>
      </c>
      <c r="H11" s="22" t="s"/>
      <c r="I11" s="9" t="s">
        <v>97</v>
      </c>
      <c r="J11" s="9" t="s">
        <v>71</v>
      </c>
      <c r="K11" s="22" t="s">
        <v>95</v>
      </c>
      <c r="L11" s="22" t="s">
        <v>98</v>
      </c>
      <c r="M11" s="10">
        <f>=IF($D11=配置调整!$A$5,VLOOKUP($K11,配置调整!$B$4:$O$29,6,0)*配置调整!$A$6,IF($D11=配置调整!$A$8,VLOOKUP($K11,配置调整!$B$4:$O$29,6,0)*配置调整!$A$9,IF($D11=配置调整!$A$11,VLOOKUP($K11,配置调整!$B$4:$O$29,6,0)*配置调整!$A$12,FALSE)))</f>
        <v>767567316.604065</v>
      </c>
      <c r="N11" s="10">
        <f>=M11</f>
        <v>767567316.604065</v>
      </c>
      <c r="O11" s="9">
        <v>0</v>
      </c>
      <c r="P11" s="11">
        <f>=M11</f>
        <v>767567316.604065</v>
      </c>
      <c r="Q11" s="10">
        <f>=M11</f>
        <v>767567316.604065</v>
      </c>
      <c r="R11" s="10">
        <f>=M11</f>
        <v>767567316.604065</v>
      </c>
      <c r="S11" s="10">
        <v>0</v>
      </c>
      <c r="T11" s="12">
        <v>1</v>
      </c>
      <c r="U11" s="4">
        <f>=IF(OR(L11="标准固收类",L11="非标固收类"),$A$2,"")</f>
        <v>45657</v>
      </c>
      <c r="V11" s="4">
        <f>=IF(OR(L11="标准固收类",L11="非标固收类"),EOMONTH($A$2,12),"")</f>
        <v>46022</v>
      </c>
      <c r="W11" s="4">
        <f>=IF(OR(L11="标准固收类",L11="非标固收类"),EOMONTH($A$2,A11*12),"")</f>
        <v>46752</v>
      </c>
      <c r="X11" s="9" t="s">
        <v>73</v>
      </c>
      <c r="Y11" s="13">
        <f>=VLOOKUP(资产明细!K11,配置调整!$B$4:$C$29,2,0)</f>
        <v>0.0242903222785211</v>
      </c>
      <c r="Z11" s="9" t="s">
        <v>74</v>
      </c>
      <c r="AA11" s="22" t="s">
        <v>91</v>
      </c>
      <c r="AB11" s="22" t="s">
        <v>99</v>
      </c>
      <c r="AC11" s="22" t="s"/>
      <c r="AD11" s="10">
        <f>=P11</f>
        <v>767567316.604065</v>
      </c>
      <c r="AE11" s="23" t="s"/>
      <c r="AF11" s="23" t="s"/>
      <c r="AG11" s="23" t="s"/>
      <c r="AH11" s="23" t="s"/>
      <c r="AI11" s="14" t="s"/>
      <c r="AJ11" s="14" t="s"/>
      <c r="AK11" s="14" t="s"/>
      <c r="AL11" s="14" t="s"/>
      <c r="AM11" s="13">
        <f>=IF(OR(L11="标准固收类",L11="非标固收类"),Y11,"")</f>
        <v>0.0242903222785211</v>
      </c>
      <c r="AN11" s="18" t="s"/>
      <c r="AO11" s="17" t="s"/>
      <c r="AP11" s="17" t="s"/>
      <c r="AQ11" s="17" t="s"/>
      <c r="AR11" s="17" t="s"/>
      <c r="AS11" s="17" t="s"/>
      <c r="AT11" s="17" t="s"/>
      <c r="AU11" s="17" t="s"/>
      <c r="AV11" s="18" t="s"/>
      <c r="AW11" s="18" t="s"/>
      <c r="AX11" s="18" t="s"/>
      <c r="AY11" s="18" t="s"/>
      <c r="AZ11" s="18" t="s"/>
      <c r="BA11" s="14" t="s"/>
      <c r="BB11" s="17" t="s"/>
      <c r="BC11" s="17" t="s"/>
      <c r="BD11" s="17" t="s"/>
      <c r="BE11" s="17" t="s"/>
      <c r="BF11" s="15">
        <f>=AM11</f>
        <v>0.0242903222785211</v>
      </c>
      <c r="BG11" s="13" t="s">
        <f>=IF(OR(L11="标准固收类",L11="非标固收类"),"",MIN(Y11,2%))</f>
      </c>
      <c r="BH11" s="19">
        <v>0</v>
      </c>
      <c r="BI11" s="20">
        <v>0.85</v>
      </c>
      <c r="BJ11" s="20" t="s"/>
      <c r="BK11" s="20" t="s"/>
      <c r="BL11" s="20" t="s"/>
      <c r="BM11" s="20" t="s"/>
      <c r="BN11" s="21" t="s"/>
    </row>
    <row r="12" spans="1:66">
      <c r="A12" s="9">
        <v>5</v>
      </c>
      <c r="B12" s="9" t="s">
        <v>100</v>
      </c>
      <c r="C12" s="22" t="s">
        <v>100</v>
      </c>
      <c r="D12" s="9" t="s">
        <v>67</v>
      </c>
      <c r="E12" s="9" t="s">
        <v>68</v>
      </c>
      <c r="F12" s="22" t="s">
        <v>96</v>
      </c>
      <c r="G12" s="9" t="s">
        <v>100</v>
      </c>
      <c r="H12" s="22" t="s"/>
      <c r="I12" s="9" t="s">
        <v>101</v>
      </c>
      <c r="J12" s="9" t="s">
        <v>71</v>
      </c>
      <c r="K12" s="22" t="s">
        <v>100</v>
      </c>
      <c r="L12" s="22" t="s">
        <v>98</v>
      </c>
      <c r="M12" s="10">
        <f>=IF($D12=配置调整!$A$5,VLOOKUP($K12,配置调整!$B$4:$O$29,6,0)*配置调整!$A$6,IF($D12=配置调整!$A$8,VLOOKUP($K12,配置调整!$B$4:$O$29,6,0)*配置调整!$A$9,IF($D12=配置调整!$A$11,VLOOKUP($K12,配置调整!$B$4:$O$29,6,0)*配置调整!$A$12,FALSE)))</f>
        <v>502980861.918676</v>
      </c>
      <c r="N12" s="10">
        <f>=M12</f>
        <v>502980861.918676</v>
      </c>
      <c r="O12" s="9">
        <v>0</v>
      </c>
      <c r="P12" s="11">
        <f>=M12</f>
        <v>502980861.918676</v>
      </c>
      <c r="Q12" s="10">
        <f>=M12</f>
        <v>502980861.918676</v>
      </c>
      <c r="R12" s="10">
        <f>=M12</f>
        <v>502980861.918676</v>
      </c>
      <c r="S12" s="10">
        <v>0</v>
      </c>
      <c r="T12" s="12">
        <v>1</v>
      </c>
      <c r="U12" s="4">
        <f>=IF(OR(L12="标准固收类",L12="非标固收类"),$A$2,"")</f>
        <v>45657</v>
      </c>
      <c r="V12" s="4">
        <f>=IF(OR(L12="标准固收类",L12="非标固收类"),EOMONTH($A$2,12),"")</f>
        <v>46022</v>
      </c>
      <c r="W12" s="4">
        <f>=IF(OR(L12="标准固收类",L12="非标固收类"),EOMONTH($A$2,A12*12),"")</f>
        <v>47483</v>
      </c>
      <c r="X12" s="9" t="s">
        <v>73</v>
      </c>
      <c r="Y12" s="13">
        <f>=VLOOKUP(资产明细!K12,配置调整!$B$4:$C$29,2,0)</f>
        <v>0.0256290353580812</v>
      </c>
      <c r="Z12" s="9" t="s">
        <v>74</v>
      </c>
      <c r="AA12" s="22" t="s">
        <v>91</v>
      </c>
      <c r="AB12" s="22" t="s">
        <v>102</v>
      </c>
      <c r="AC12" s="22" t="s"/>
      <c r="AD12" s="10">
        <f>=P12</f>
        <v>502980861.918676</v>
      </c>
      <c r="AE12" s="23" t="s"/>
      <c r="AF12" s="23" t="s"/>
      <c r="AG12" s="23" t="s"/>
      <c r="AH12" s="23" t="s"/>
      <c r="AI12" s="14" t="s"/>
      <c r="AJ12" s="14" t="s"/>
      <c r="AK12" s="14" t="s"/>
      <c r="AL12" s="14" t="s"/>
      <c r="AM12" s="13">
        <f>=IF(OR(L12="标准固收类",L12="非标固收类"),Y12,"")</f>
        <v>0.0256290353580812</v>
      </c>
      <c r="AN12" s="18" t="s"/>
      <c r="AO12" s="17" t="s"/>
      <c r="AP12" s="17" t="s"/>
      <c r="AQ12" s="17" t="s"/>
      <c r="AR12" s="17" t="s"/>
      <c r="AS12" s="17" t="s"/>
      <c r="AT12" s="17" t="s"/>
      <c r="AU12" s="17" t="s"/>
      <c r="AV12" s="18" t="s"/>
      <c r="AW12" s="18" t="s"/>
      <c r="AX12" s="18" t="s"/>
      <c r="AY12" s="18" t="s"/>
      <c r="AZ12" s="18" t="s"/>
      <c r="BA12" s="14" t="s"/>
      <c r="BB12" s="17" t="s"/>
      <c r="BC12" s="17" t="s"/>
      <c r="BD12" s="17" t="s"/>
      <c r="BE12" s="17" t="s"/>
      <c r="BF12" s="15">
        <f>=AM12</f>
        <v>0.0256290353580812</v>
      </c>
      <c r="BG12" s="13" t="s">
        <f>=IF(OR(L12="标准固收类",L12="非标固收类"),"",MIN(Y12,2%))</f>
      </c>
      <c r="BH12" s="19">
        <v>0</v>
      </c>
      <c r="BI12" s="20">
        <v>0.85</v>
      </c>
      <c r="BJ12" s="20" t="s"/>
      <c r="BK12" s="20" t="s"/>
      <c r="BL12" s="20" t="s"/>
      <c r="BM12" s="20" t="s"/>
      <c r="BN12" s="21" t="s"/>
    </row>
    <row r="13" spans="2:66">
      <c r="B13" s="9" t="s">
        <v>103</v>
      </c>
      <c r="C13" s="22" t="s">
        <v>103</v>
      </c>
      <c r="D13" s="9" t="s">
        <v>67</v>
      </c>
      <c r="E13" s="22" t="s">
        <v>104</v>
      </c>
      <c r="F13" s="22" t="s">
        <v>105</v>
      </c>
      <c r="G13" s="9" t="s">
        <v>103</v>
      </c>
      <c r="H13" s="22" t="s"/>
      <c r="I13" s="9" t="s">
        <v>106</v>
      </c>
      <c r="J13" s="9" t="s">
        <v>71</v>
      </c>
      <c r="K13" s="22" t="s">
        <v>103</v>
      </c>
      <c r="L13" s="22" t="s">
        <v>104</v>
      </c>
      <c r="M13" s="10">
        <f>=IF($D13=配置调整!$A$5,VLOOKUP($K13,配置调整!$B$4:$O$29,6,0)*配置调整!$A$6,IF($D13=配置调整!$A$8,VLOOKUP($K13,配置调整!$B$4:$O$29,6,0)*配置调整!$A$9,IF($D13=配置调整!$A$11,VLOOKUP($K13,配置调整!$B$4:$O$29,6,0)*配置调整!$A$12,FALSE)))</f>
        <v>267518.4312424</v>
      </c>
      <c r="N13" s="10">
        <f>=M13</f>
        <v>267518.4312424</v>
      </c>
      <c r="O13" s="9">
        <v>0</v>
      </c>
      <c r="P13" s="11">
        <f>=M13</f>
        <v>267518.4312424</v>
      </c>
      <c r="Q13" s="10">
        <f>=M13</f>
        <v>267518.4312424</v>
      </c>
      <c r="R13" s="10">
        <f>=M13</f>
        <v>267518.4312424</v>
      </c>
      <c r="S13" s="10">
        <v>0</v>
      </c>
      <c r="T13" s="22" t="s"/>
      <c r="U13" s="4" t="s">
        <f>=IF(OR(L13="标准固收类",L13="非标固收类"),$A$2,"")</f>
      </c>
      <c r="V13" s="4" t="s">
        <f>=IF(OR(L13="标准固收类",L13="非标固收类"),EOMONTH($A$2,12),"")</f>
      </c>
      <c r="W13" s="4" t="s">
        <f>=IF(OR(L13="标准固收类",L13="非标固收类"),EOMONTH($A$2,A13*12),"")</f>
      </c>
      <c r="X13" s="22" t="s"/>
      <c r="Y13" s="13">
        <f>=VLOOKUP(资产明细!K13,配置调整!$B$4:$C$29,2,0)</f>
        <v>0.06</v>
      </c>
      <c r="Z13" s="9" t="s">
        <v>74</v>
      </c>
      <c r="AA13" s="22" t="s"/>
      <c r="AB13" s="22" t="s"/>
      <c r="AC13" s="22" t="s">
        <v>107</v>
      </c>
      <c r="AD13" s="10">
        <f>=P13</f>
        <v>267518.4312424</v>
      </c>
      <c r="AE13" s="23" t="s"/>
      <c r="AF13" s="23" t="s"/>
      <c r="AG13" s="23" t="s"/>
      <c r="AH13" s="23" t="s"/>
      <c r="AI13" s="14" t="s"/>
      <c r="AJ13" s="14" t="s"/>
      <c r="AK13" s="14" t="s"/>
      <c r="AL13" s="14" t="s"/>
      <c r="AM13" s="13" t="s">
        <f>=IF(OR(L13="标准固收类",L13="非标固收类"),Y13,"")</f>
      </c>
      <c r="AN13" s="15" t="s"/>
      <c r="AO13" s="16" t="s"/>
      <c r="AP13" s="17" t="s"/>
      <c r="AQ13" s="17" t="s"/>
      <c r="AR13" s="17" t="s"/>
      <c r="AS13" s="17" t="s"/>
      <c r="AT13" s="17" t="s"/>
      <c r="AU13" s="17" t="s"/>
      <c r="AV13" s="18" t="s"/>
      <c r="AW13" s="18" t="s"/>
      <c r="AX13" s="18" t="s"/>
      <c r="AY13" s="18" t="s"/>
      <c r="AZ13" s="18" t="s"/>
      <c r="BA13" s="14" t="s"/>
      <c r="BB13" s="24" t="s"/>
      <c r="BC13" s="17" t="s"/>
      <c r="BD13" s="17" t="s"/>
      <c r="BE13" s="17" t="s"/>
      <c r="BF13" s="15" t="s">
        <f>=AM13</f>
      </c>
      <c r="BG13" s="13">
        <f>=IF(OR(L13="标准固收类",L13="非标固收类"),"",MIN(Y13,2%))</f>
        <v>0.02</v>
      </c>
      <c r="BH13" s="19">
        <v>0</v>
      </c>
      <c r="BI13" s="20">
        <v>0.85</v>
      </c>
      <c r="BJ13" s="20" t="s"/>
      <c r="BK13" s="20" t="s"/>
      <c r="BL13" s="20" t="s"/>
      <c r="BM13" s="20" t="s"/>
      <c r="BN13" s="21" t="s"/>
    </row>
    <row r="14" spans="2:66">
      <c r="B14" s="9" t="s">
        <v>108</v>
      </c>
      <c r="C14" s="22" t="s">
        <v>108</v>
      </c>
      <c r="D14" s="9" t="s">
        <v>67</v>
      </c>
      <c r="E14" s="22" t="s">
        <v>104</v>
      </c>
      <c r="F14" s="22" t="s">
        <v>105</v>
      </c>
      <c r="G14" s="9" t="s">
        <v>108</v>
      </c>
      <c r="H14" s="22" t="s"/>
      <c r="I14" s="9" t="s">
        <v>109</v>
      </c>
      <c r="J14" s="9" t="s">
        <v>71</v>
      </c>
      <c r="K14" s="22" t="s">
        <v>108</v>
      </c>
      <c r="L14" s="22" t="s">
        <v>104</v>
      </c>
      <c r="M14" s="10">
        <f>=IF($D14=配置调整!$A$5,VLOOKUP($K14,配置调整!$B$4:$O$29,6,0)*配置调整!$A$6,IF($D14=配置调整!$A$8,VLOOKUP($K14,配置调整!$B$4:$O$29,6,0)*配置调整!$A$9,IF($D14=配置调整!$A$11,VLOOKUP($K14,配置调整!$B$4:$O$29,6,0)*配置调整!$A$12,FALSE)))</f>
        <v>90343544.8844248</v>
      </c>
      <c r="N14" s="10">
        <f>=M14</f>
        <v>90343544.8844248</v>
      </c>
      <c r="O14" s="9">
        <v>0</v>
      </c>
      <c r="P14" s="11">
        <f>=M14</f>
        <v>90343544.8844248</v>
      </c>
      <c r="Q14" s="10">
        <f>=M14</f>
        <v>90343544.8844248</v>
      </c>
      <c r="R14" s="10">
        <f>=M14</f>
        <v>90343544.8844248</v>
      </c>
      <c r="S14" s="10">
        <v>0</v>
      </c>
      <c r="T14" s="22" t="s"/>
      <c r="U14" s="4" t="s">
        <f>=IF(OR(L14="标准固收类",L14="非标固收类"),$A$2,"")</f>
      </c>
      <c r="V14" s="4" t="s">
        <f>=IF(OR(L14="标准固收类",L14="非标固收类"),EOMONTH($A$2,12),"")</f>
      </c>
      <c r="W14" s="4" t="s">
        <f>=IF(OR(L14="标准固收类",L14="非标固收类"),EOMONTH($A$2,A14*12),"")</f>
      </c>
      <c r="X14" s="22" t="s"/>
      <c r="Y14" s="13">
        <f>=VLOOKUP(资产明细!K14,配置调整!$B$4:$C$29,2,0)</f>
        <v>0.07</v>
      </c>
      <c r="Z14" s="9" t="s">
        <v>74</v>
      </c>
      <c r="AA14" s="22" t="s"/>
      <c r="AB14" s="22" t="s"/>
      <c r="AC14" s="22" t="s">
        <v>110</v>
      </c>
      <c r="AD14" s="10">
        <f>=P14</f>
        <v>90343544.8844248</v>
      </c>
      <c r="AE14" s="23" t="s"/>
      <c r="AF14" s="23" t="s"/>
      <c r="AG14" s="23" t="s"/>
      <c r="AH14" s="23" t="s"/>
      <c r="AI14" s="14" t="s"/>
      <c r="AJ14" s="14" t="s"/>
      <c r="AK14" s="14" t="s"/>
      <c r="AL14" s="14" t="s"/>
      <c r="AM14" s="13" t="s">
        <f>=IF(OR(L14="标准固收类",L14="非标固收类"),Y14,"")</f>
      </c>
      <c r="AN14" s="18" t="s"/>
      <c r="AO14" s="17" t="s"/>
      <c r="AP14" s="17" t="s"/>
      <c r="AQ14" s="17" t="s"/>
      <c r="AR14" s="17" t="s"/>
      <c r="AS14" s="17" t="s"/>
      <c r="AT14" s="17" t="s"/>
      <c r="AU14" s="17" t="s"/>
      <c r="AV14" s="18" t="s"/>
      <c r="AW14" s="18" t="s"/>
      <c r="AX14" s="18" t="s"/>
      <c r="AY14" s="18" t="s"/>
      <c r="AZ14" s="18" t="s"/>
      <c r="BA14" s="14" t="s"/>
      <c r="BB14" s="17" t="s"/>
      <c r="BC14" s="17" t="s"/>
      <c r="BD14" s="17" t="s"/>
      <c r="BE14" s="17" t="s"/>
      <c r="BF14" s="15" t="s">
        <f>=AM14</f>
      </c>
      <c r="BG14" s="13">
        <f>=IF(OR(L14="标准固收类",L14="非标固收类"),"",MIN(Y14,2%))</f>
        <v>0.02</v>
      </c>
      <c r="BH14" s="19">
        <v>0</v>
      </c>
      <c r="BI14" s="20">
        <v>0.85</v>
      </c>
      <c r="BJ14" s="20" t="s"/>
      <c r="BK14" s="20" t="s"/>
      <c r="BL14" s="20" t="s"/>
      <c r="BM14" s="20" t="s"/>
      <c r="BN14" s="21" t="s"/>
    </row>
    <row r="15" spans="2:66">
      <c r="B15" s="9" t="s">
        <v>111</v>
      </c>
      <c r="C15" s="22" t="s">
        <v>111</v>
      </c>
      <c r="D15" s="9" t="s">
        <v>67</v>
      </c>
      <c r="E15" s="22" t="s">
        <v>104</v>
      </c>
      <c r="F15" s="22" t="s">
        <v>105</v>
      </c>
      <c r="G15" s="9" t="s">
        <v>111</v>
      </c>
      <c r="H15" s="22" t="s"/>
      <c r="I15" s="9" t="s">
        <v>112</v>
      </c>
      <c r="J15" s="9" t="s">
        <v>71</v>
      </c>
      <c r="K15" s="22" t="s">
        <v>111</v>
      </c>
      <c r="L15" s="22" t="s">
        <v>104</v>
      </c>
      <c r="M15" s="10">
        <f>=IF($D15=配置调整!$A$5,VLOOKUP($K15,配置调整!$B$4:$O$29,6,0)*配置调整!$A$6,IF($D15=配置调整!$A$8,VLOOKUP($K15,配置调整!$B$4:$O$29,6,0)*配置调整!$A$9,IF($D15=配置调整!$A$11,VLOOKUP($K15,配置调整!$B$4:$O$29,6,0)*配置调整!$A$12,FALSE)))</f>
        <v>127216359.472888</v>
      </c>
      <c r="N15" s="10">
        <f>=M15</f>
        <v>127216359.472888</v>
      </c>
      <c r="O15" s="9">
        <v>0</v>
      </c>
      <c r="P15" s="11">
        <f>=M15</f>
        <v>127216359.472888</v>
      </c>
      <c r="Q15" s="10">
        <f>=M15</f>
        <v>127216359.472888</v>
      </c>
      <c r="R15" s="10">
        <f>=M15</f>
        <v>127216359.472888</v>
      </c>
      <c r="S15" s="10">
        <v>0</v>
      </c>
      <c r="T15" s="22" t="s"/>
      <c r="U15" s="4" t="s">
        <f>=IF(OR(L15="标准固收类",L15="非标固收类"),$A$2,"")</f>
      </c>
      <c r="V15" s="4" t="s">
        <f>=IF(OR(L15="标准固收类",L15="非标固收类"),EOMONTH($A$2,12),"")</f>
      </c>
      <c r="W15" s="4" t="s">
        <f>=IF(OR(L15="标准固收类",L15="非标固收类"),EOMONTH($A$2,A15*12),"")</f>
      </c>
      <c r="X15" s="22" t="s"/>
      <c r="Y15" s="13">
        <f>=VLOOKUP(资产明细!K15,配置调整!$B$4:$C$29,2,0)</f>
        <v>0.08</v>
      </c>
      <c r="Z15" s="9" t="s">
        <v>74</v>
      </c>
      <c r="AA15" s="22" t="s"/>
      <c r="AB15" s="22" t="s"/>
      <c r="AC15" s="22" t="s">
        <v>113</v>
      </c>
      <c r="AD15" s="10">
        <f>=P15</f>
        <v>127216359.472888</v>
      </c>
      <c r="AE15" s="23" t="s"/>
      <c r="AF15" s="23" t="s"/>
      <c r="AG15" s="23" t="s"/>
      <c r="AH15" s="23" t="s"/>
      <c r="AI15" s="14" t="s"/>
      <c r="AJ15" s="14" t="s"/>
      <c r="AK15" s="14" t="s"/>
      <c r="AL15" s="14" t="s"/>
      <c r="AM15" s="13" t="s">
        <f>=IF(OR(L15="标准固收类",L15="非标固收类"),Y15,"")</f>
      </c>
      <c r="AN15" s="15" t="s"/>
      <c r="AO15" s="17" t="s"/>
      <c r="AP15" s="17" t="s"/>
      <c r="AQ15" s="17" t="s"/>
      <c r="AR15" s="17" t="s"/>
      <c r="AS15" s="17" t="s"/>
      <c r="AT15" s="17" t="s"/>
      <c r="AU15" s="17" t="s"/>
      <c r="AV15" s="18" t="s"/>
      <c r="AW15" s="18" t="s"/>
      <c r="AX15" s="18" t="s"/>
      <c r="AY15" s="18" t="s"/>
      <c r="AZ15" s="18" t="s"/>
      <c r="BA15" s="14" t="s"/>
      <c r="BB15" s="17" t="s"/>
      <c r="BC15" s="17" t="s"/>
      <c r="BD15" s="17" t="s"/>
      <c r="BE15" s="17" t="s"/>
      <c r="BF15" s="15" t="s">
        <f>=AM15</f>
      </c>
      <c r="BG15" s="13">
        <f>=IF(OR(L15="标准固收类",L15="非标固收类"),"",MIN(Y15,2%))</f>
        <v>0.02</v>
      </c>
      <c r="BH15" s="19">
        <v>0</v>
      </c>
      <c r="BI15" s="20">
        <v>0.85</v>
      </c>
      <c r="BJ15" s="20" t="s"/>
      <c r="BK15" s="20" t="s"/>
      <c r="BL15" s="20" t="s"/>
      <c r="BM15" s="20" t="s"/>
      <c r="BN15" s="21" t="s"/>
    </row>
    <row r="16" spans="2:66">
      <c r="B16" s="9" t="s">
        <v>114</v>
      </c>
      <c r="C16" s="22" t="s">
        <v>114</v>
      </c>
      <c r="D16" s="9" t="s">
        <v>67</v>
      </c>
      <c r="E16" s="22" t="s">
        <v>104</v>
      </c>
      <c r="F16" s="22" t="s">
        <v>105</v>
      </c>
      <c r="G16" s="9" t="s">
        <v>114</v>
      </c>
      <c r="H16" s="22" t="s"/>
      <c r="I16" s="9" t="s">
        <v>115</v>
      </c>
      <c r="J16" s="9" t="s">
        <v>71</v>
      </c>
      <c r="K16" s="22" t="s">
        <v>114</v>
      </c>
      <c r="L16" s="22" t="s">
        <v>104</v>
      </c>
      <c r="M16" s="10">
        <f>=IF($D16=配置调整!$A$5,VLOOKUP($K16,配置调整!$B$4:$O$29,6,0)*配置调整!$A$6,IF($D16=配置调整!$A$8,VLOOKUP($K16,配置调整!$B$4:$O$29,6,0)*配置调整!$A$9,IF($D16=配置调整!$A$11,VLOOKUP($K16,配置调整!$B$4:$O$29,6,0)*配置调整!$A$12,FALSE)))</f>
        <v>678895237.760136</v>
      </c>
      <c r="N16" s="10">
        <f>=M16</f>
        <v>678895237.760136</v>
      </c>
      <c r="O16" s="9">
        <v>0</v>
      </c>
      <c r="P16" s="11">
        <f>=M16</f>
        <v>678895237.760136</v>
      </c>
      <c r="Q16" s="10">
        <f>=M16</f>
        <v>678895237.760136</v>
      </c>
      <c r="R16" s="10">
        <f>=M16</f>
        <v>678895237.760136</v>
      </c>
      <c r="S16" s="10">
        <v>0</v>
      </c>
      <c r="T16" s="22" t="s"/>
      <c r="U16" s="4" t="s">
        <f>=IF(OR(L16="标准固收类",L16="非标固收类"),$A$2,"")</f>
      </c>
      <c r="V16" s="4" t="s">
        <f>=IF(OR(L16="标准固收类",L16="非标固收类"),EOMONTH($A$2,12),"")</f>
      </c>
      <c r="W16" s="4" t="s">
        <f>=IF(OR(L16="标准固收类",L16="非标固收类"),EOMONTH($A$2,A16*12),"")</f>
      </c>
      <c r="X16" s="22" t="s"/>
      <c r="Y16" s="13">
        <f>=VLOOKUP(资产明细!K16,配置调整!$B$4:$C$29,2,0)</f>
        <v>0.085</v>
      </c>
      <c r="Z16" s="9" t="s">
        <v>74</v>
      </c>
      <c r="AA16" s="22" t="s"/>
      <c r="AB16" s="22" t="s"/>
      <c r="AC16" s="22" t="s">
        <v>116</v>
      </c>
      <c r="AD16" s="10">
        <f>=P16</f>
        <v>678895237.760136</v>
      </c>
      <c r="AE16" s="23" t="s"/>
      <c r="AF16" s="23" t="s"/>
      <c r="AG16" s="23" t="s"/>
      <c r="AH16" s="23" t="s"/>
      <c r="AI16" s="14" t="s"/>
      <c r="AJ16" s="14" t="s"/>
      <c r="AK16" s="14" t="s"/>
      <c r="AL16" s="14" t="s"/>
      <c r="AM16" s="13" t="s">
        <f>=IF(OR(L16="标准固收类",L16="非标固收类"),Y16,"")</f>
      </c>
      <c r="AN16" s="18" t="s"/>
      <c r="AO16" s="17" t="s"/>
      <c r="AP16" s="17" t="s"/>
      <c r="AQ16" s="17" t="s"/>
      <c r="AR16" s="17" t="s"/>
      <c r="AS16" s="17" t="s"/>
      <c r="AT16" s="17" t="s"/>
      <c r="AU16" s="17" t="s"/>
      <c r="AV16" s="18" t="s"/>
      <c r="AW16" s="18" t="s"/>
      <c r="AX16" s="18" t="s"/>
      <c r="AY16" s="18" t="s"/>
      <c r="AZ16" s="18" t="s"/>
      <c r="BA16" s="14" t="s"/>
      <c r="BB16" s="17" t="s"/>
      <c r="BC16" s="17" t="s"/>
      <c r="BD16" s="17" t="s"/>
      <c r="BE16" s="17" t="s"/>
      <c r="BF16" s="15" t="s">
        <f>=AM16</f>
      </c>
      <c r="BG16" s="13">
        <f>=IF(OR(L16="标准固收类",L16="非标固收类"),"",MIN(Y16,2%))</f>
        <v>0.02</v>
      </c>
      <c r="BH16" s="19">
        <v>0</v>
      </c>
      <c r="BI16" s="20">
        <v>0.85</v>
      </c>
      <c r="BJ16" s="20" t="s"/>
      <c r="BK16" s="20" t="s"/>
      <c r="BL16" s="20" t="s"/>
      <c r="BM16" s="20" t="s"/>
      <c r="BN16" s="21" t="s"/>
    </row>
    <row r="17" spans="2:66">
      <c r="B17" s="9" t="s">
        <v>117</v>
      </c>
      <c r="C17" s="22" t="s">
        <v>117</v>
      </c>
      <c r="D17" s="9" t="s">
        <v>67</v>
      </c>
      <c r="E17" s="22" t="s">
        <v>104</v>
      </c>
      <c r="F17" s="22" t="s">
        <v>117</v>
      </c>
      <c r="G17" s="9" t="s">
        <v>117</v>
      </c>
      <c r="H17" s="22" t="s"/>
      <c r="I17" s="9" t="s">
        <v>118</v>
      </c>
      <c r="J17" s="9" t="s">
        <v>71</v>
      </c>
      <c r="K17" s="22" t="s">
        <v>117</v>
      </c>
      <c r="L17" s="22" t="s">
        <v>104</v>
      </c>
      <c r="M17" s="10">
        <f>=IF($D17=配置调整!$A$5,VLOOKUP($K17,配置调整!$B$4:$O$29,6,0)*配置调整!$A$6,IF($D17=配置调整!$A$8,VLOOKUP($K17,配置调整!$B$4:$O$29,6,0)*配置调整!$A$9,IF($D17=配置调整!$A$11,VLOOKUP($K17,配置调整!$B$4:$O$29,6,0)*配置调整!$A$12,FALSE)))</f>
        <v>267518.4312424</v>
      </c>
      <c r="N17" s="10">
        <f>=M17</f>
        <v>267518.4312424</v>
      </c>
      <c r="O17" s="9">
        <v>0</v>
      </c>
      <c r="P17" s="11">
        <f>=M17</f>
        <v>267518.4312424</v>
      </c>
      <c r="Q17" s="10">
        <f>=M17</f>
        <v>267518.4312424</v>
      </c>
      <c r="R17" s="10">
        <f>=M17</f>
        <v>267518.4312424</v>
      </c>
      <c r="S17" s="10">
        <v>0</v>
      </c>
      <c r="T17" s="22" t="s"/>
      <c r="U17" s="4" t="s">
        <f>=IF(OR(L17="标准固收类",L17="非标固收类"),$A$2,"")</f>
      </c>
      <c r="V17" s="4" t="s">
        <f>=IF(OR(L17="标准固收类",L17="非标固收类"),EOMONTH($A$2,12),"")</f>
      </c>
      <c r="W17" s="4" t="s">
        <f>=IF(OR(L17="标准固收类",L17="非标固收类"),EOMONTH($A$2,A17*12),"")</f>
      </c>
      <c r="X17" s="22" t="s"/>
      <c r="Y17" s="13">
        <f>=VLOOKUP(资产明细!K17,配置调整!$B$4:$C$29,2,0)</f>
        <v>0.0284872877927068</v>
      </c>
      <c r="Z17" s="9" t="s">
        <v>74</v>
      </c>
      <c r="AA17" s="22" t="s"/>
      <c r="AB17" s="22" t="s"/>
      <c r="AC17" s="22" t="s">
        <v>119</v>
      </c>
      <c r="AD17" s="10">
        <f>=P17</f>
        <v>267518.4312424</v>
      </c>
      <c r="AE17" s="23" t="s"/>
      <c r="AF17" s="23" t="s"/>
      <c r="AG17" s="23" t="s"/>
      <c r="AH17" s="23" t="s"/>
      <c r="AI17" s="14" t="s"/>
      <c r="AJ17" s="14" t="s"/>
      <c r="AK17" s="14" t="s"/>
      <c r="AL17" s="14" t="s"/>
      <c r="AM17" s="13" t="s">
        <f>=IF(OR(L17="标准固收类",L17="非标固收类"),Y17,"")</f>
      </c>
      <c r="AN17" s="15" t="s"/>
      <c r="AO17" s="16" t="s"/>
      <c r="AP17" s="17" t="s"/>
      <c r="AQ17" s="17" t="s"/>
      <c r="AR17" s="25" t="s"/>
      <c r="AS17" s="17" t="s"/>
      <c r="AT17" s="17" t="s"/>
      <c r="AU17" s="17" t="s"/>
      <c r="AV17" s="18" t="s"/>
      <c r="AW17" s="18" t="s"/>
      <c r="AX17" s="18" t="s"/>
      <c r="AY17" s="18" t="s"/>
      <c r="AZ17" s="18" t="s"/>
      <c r="BA17" s="14" t="s"/>
      <c r="BB17" s="17" t="s"/>
      <c r="BC17" s="17" t="s"/>
      <c r="BD17" s="17" t="s"/>
      <c r="BE17" s="17" t="s"/>
      <c r="BF17" s="15" t="s">
        <f>=AM17</f>
      </c>
      <c r="BG17" s="13">
        <f>=IF(OR(L17="标准固收类",L17="非标固收类"),"",MIN(Y17,2%))</f>
        <v>0.02</v>
      </c>
      <c r="BH17" s="19">
        <v>0</v>
      </c>
      <c r="BI17" s="20">
        <v>0.85</v>
      </c>
      <c r="BJ17" s="20" t="s"/>
      <c r="BK17" s="20" t="s"/>
      <c r="BL17" s="20" t="s"/>
      <c r="BM17" s="20" t="s"/>
      <c r="BN17" s="21" t="s"/>
    </row>
    <row r="18" spans="2:66">
      <c r="B18" s="9" t="s">
        <v>120</v>
      </c>
      <c r="C18" s="22" t="s">
        <v>120</v>
      </c>
      <c r="D18" s="9" t="s">
        <v>67</v>
      </c>
      <c r="E18" s="22" t="s">
        <v>104</v>
      </c>
      <c r="F18" s="22" t="s">
        <v>120</v>
      </c>
      <c r="G18" s="9" t="s">
        <v>120</v>
      </c>
      <c r="H18" s="22" t="s"/>
      <c r="I18" s="9" t="s">
        <v>121</v>
      </c>
      <c r="J18" s="9" t="s">
        <v>71</v>
      </c>
      <c r="K18" s="22" t="s">
        <v>120</v>
      </c>
      <c r="L18" s="22" t="s">
        <v>104</v>
      </c>
      <c r="M18" s="10">
        <f>=IF($D18=配置调整!$A$5,VLOOKUP($K18,配置调整!$B$4:$O$29,6,0)*配置调整!$A$6,IF($D18=配置调整!$A$8,VLOOKUP($K18,配置调整!$B$4:$O$29,6,0)*配置调整!$A$9,IF($D18=配置调整!$A$11,VLOOKUP($K18,配置调整!$B$4:$O$29,6,0)*配置调整!$A$12,FALSE)))</f>
        <v>267518.4312424</v>
      </c>
      <c r="N18" s="10">
        <f>=M18</f>
        <v>267518.4312424</v>
      </c>
      <c r="O18" s="9">
        <v>0</v>
      </c>
      <c r="P18" s="11">
        <f>=M18</f>
        <v>267518.4312424</v>
      </c>
      <c r="Q18" s="10">
        <f>=M18</f>
        <v>267518.4312424</v>
      </c>
      <c r="R18" s="10">
        <f>=M18</f>
        <v>267518.4312424</v>
      </c>
      <c r="S18" s="10">
        <v>0</v>
      </c>
      <c r="T18" s="22" t="s"/>
      <c r="U18" s="4" t="s">
        <f>=IF(OR(L18="标准固收类",L18="非标固收类"),$A$2,"")</f>
      </c>
      <c r="V18" s="4" t="s">
        <f>=IF(OR(L18="标准固收类",L18="非标固收类"),EOMONTH($A$2,12),"")</f>
      </c>
      <c r="W18" s="4" t="s">
        <f>=IF(OR(L18="标准固收类",L18="非标固收类"),EOMONTH($A$2,A18*12),"")</f>
      </c>
      <c r="X18" s="22" t="s"/>
      <c r="Y18" s="13">
        <f>=VLOOKUP(资产明细!K18,配置调整!$B$4:$C$29,2,0)</f>
        <v>0.015</v>
      </c>
      <c r="Z18" s="9" t="s">
        <v>74</v>
      </c>
      <c r="AA18" s="22" t="s"/>
      <c r="AB18" s="22" t="s"/>
      <c r="AC18" s="22" t="s">
        <v>122</v>
      </c>
      <c r="AD18" s="10">
        <f>=P18</f>
        <v>267518.4312424</v>
      </c>
      <c r="AE18" s="23" t="s"/>
      <c r="AF18" s="23" t="s"/>
      <c r="AG18" s="23" t="s"/>
      <c r="AH18" s="23" t="s"/>
      <c r="AI18" s="14" t="s"/>
      <c r="AJ18" s="14" t="s"/>
      <c r="AK18" s="14" t="s"/>
      <c r="AL18" s="14" t="s"/>
      <c r="AM18" s="13" t="s">
        <f>=IF(OR(L18="标准固收类",L18="非标固收类"),Y18,"")</f>
      </c>
      <c r="AN18" s="15" t="s"/>
      <c r="AO18" s="16" t="s"/>
      <c r="AP18" s="17" t="s"/>
      <c r="AQ18" s="17" t="s"/>
      <c r="AR18" s="17" t="s"/>
      <c r="AS18" s="17" t="s"/>
      <c r="AT18" s="17" t="s"/>
      <c r="AU18" s="17" t="s"/>
      <c r="AV18" s="18" t="s"/>
      <c r="AW18" s="18" t="s"/>
      <c r="AX18" s="18" t="s"/>
      <c r="AY18" s="18" t="s"/>
      <c r="AZ18" s="18" t="s"/>
      <c r="BA18" s="14" t="s"/>
      <c r="BB18" s="17" t="s"/>
      <c r="BC18" s="17" t="s"/>
      <c r="BD18" s="17" t="s"/>
      <c r="BE18" s="17" t="s"/>
      <c r="BF18" s="15" t="s">
        <f>=AM18</f>
      </c>
      <c r="BG18" s="13">
        <f>=IF(OR(L18="标准固收类",L18="非标固收类"),"",MIN(Y18,2%))</f>
        <v>0.015</v>
      </c>
      <c r="BH18" s="19">
        <v>0</v>
      </c>
      <c r="BI18" s="20">
        <v>0.85</v>
      </c>
      <c r="BJ18" s="20" t="s"/>
      <c r="BK18" s="20" t="s"/>
      <c r="BL18" s="20" t="s"/>
      <c r="BM18" s="20" t="s"/>
      <c r="BN18" s="21" t="s"/>
    </row>
    <row r="19" spans="2:66">
      <c r="B19" s="9" t="s">
        <v>123</v>
      </c>
      <c r="C19" s="22" t="s">
        <v>123</v>
      </c>
      <c r="D19" s="9" t="s">
        <v>67</v>
      </c>
      <c r="E19" s="22" t="s">
        <v>104</v>
      </c>
      <c r="F19" s="22" t="s">
        <v>123</v>
      </c>
      <c r="G19" s="9" t="s">
        <v>123</v>
      </c>
      <c r="H19" s="22" t="s"/>
      <c r="I19" s="9" t="s">
        <v>124</v>
      </c>
      <c r="J19" s="9" t="s">
        <v>71</v>
      </c>
      <c r="K19" s="22" t="s">
        <v>123</v>
      </c>
      <c r="L19" s="22" t="s">
        <v>104</v>
      </c>
      <c r="M19" s="10">
        <f>=IF($D19=配置调整!$A$5,VLOOKUP($K19,配置调整!$B$4:$O$29,6,0)*配置调整!$A$6,IF($D19=配置调整!$A$8,VLOOKUP($K19,配置调整!$B$4:$O$29,6,0)*配置调整!$A$9,IF($D19=配置调整!$A$11,VLOOKUP($K19,配置调整!$B$4:$O$29,6,0)*配置调整!$A$12,FALSE)))</f>
        <v>287615673.393965</v>
      </c>
      <c r="N19" s="10">
        <f>=M19</f>
        <v>287615673.393965</v>
      </c>
      <c r="O19" s="9">
        <v>0</v>
      </c>
      <c r="P19" s="11">
        <f>=M19</f>
        <v>287615673.393965</v>
      </c>
      <c r="Q19" s="10">
        <f>=M19</f>
        <v>287615673.393965</v>
      </c>
      <c r="R19" s="10">
        <f>=M19</f>
        <v>287615673.393965</v>
      </c>
      <c r="S19" s="10">
        <v>0</v>
      </c>
      <c r="T19" s="22" t="s"/>
      <c r="U19" s="4" t="s">
        <f>=IF(OR(L19="标准固收类",L19="非标固收类"),$A$2,"")</f>
      </c>
      <c r="V19" s="4" t="s">
        <f>=IF(OR(L19="标准固收类",L19="非标固收类"),EOMONTH($A$2,12),"")</f>
      </c>
      <c r="W19" s="4" t="s">
        <f>=IF(OR(L19="标准固收类",L19="非标固收类"),EOMONTH($A$2,A19*12),"")</f>
      </c>
      <c r="X19" s="22" t="s"/>
      <c r="Y19" s="13">
        <f>=VLOOKUP(资产明细!K19,配置调整!$B$4:$C$29,2,0)</f>
        <v>0.05</v>
      </c>
      <c r="Z19" s="9" t="s">
        <v>74</v>
      </c>
      <c r="AA19" s="22" t="s"/>
      <c r="AB19" s="22" t="s"/>
      <c r="AC19" s="22" t="s">
        <v>125</v>
      </c>
      <c r="AD19" s="10">
        <f>=P19</f>
        <v>287615673.393965</v>
      </c>
      <c r="AE19" s="23" t="s"/>
      <c r="AF19" s="23" t="s"/>
      <c r="AG19" s="23" t="s"/>
      <c r="AH19" s="23" t="s"/>
      <c r="AI19" s="14" t="s"/>
      <c r="AJ19" s="14" t="s"/>
      <c r="AK19" s="14" t="s"/>
      <c r="AL19" s="14" t="s"/>
      <c r="AM19" s="13" t="s">
        <f>=IF(OR(L19="标准固收类",L19="非标固收类"),Y19,"")</f>
      </c>
      <c r="AN19" s="18" t="s"/>
      <c r="AO19" s="17" t="s"/>
      <c r="AP19" s="17" t="s"/>
      <c r="AQ19" s="17" t="s"/>
      <c r="AR19" s="17" t="s"/>
      <c r="AS19" s="17" t="s"/>
      <c r="AT19" s="17" t="s"/>
      <c r="AU19" s="17" t="s"/>
      <c r="AV19" s="18" t="s"/>
      <c r="AW19" s="18" t="s"/>
      <c r="AX19" s="18" t="s"/>
      <c r="AY19" s="18" t="s"/>
      <c r="AZ19" s="18" t="s"/>
      <c r="BA19" s="14" t="s"/>
      <c r="BB19" s="17" t="s"/>
      <c r="BC19" s="17" t="s"/>
      <c r="BD19" s="17" t="s"/>
      <c r="BE19" s="17" t="s"/>
      <c r="BF19" s="15" t="s">
        <f>=AM19</f>
      </c>
      <c r="BG19" s="13">
        <f>=IF(OR(L19="标准固收类",L19="非标固收类"),"",MIN(Y19,2%))</f>
        <v>0.02</v>
      </c>
      <c r="BH19" s="19">
        <v>0</v>
      </c>
      <c r="BI19" s="20">
        <v>0.85</v>
      </c>
      <c r="BJ19" s="20" t="s"/>
      <c r="BK19" s="20" t="s"/>
      <c r="BL19" s="20" t="s"/>
      <c r="BM19" s="20" t="s"/>
      <c r="BN19" s="21" t="s"/>
    </row>
    <row r="20" spans="2:66">
      <c r="B20" s="9" t="s">
        <v>126</v>
      </c>
      <c r="C20" s="22" t="s">
        <v>126</v>
      </c>
      <c r="D20" s="9" t="s">
        <v>67</v>
      </c>
      <c r="E20" s="22" t="s">
        <v>104</v>
      </c>
      <c r="F20" s="22" t="s">
        <v>126</v>
      </c>
      <c r="G20" s="9" t="s">
        <v>126</v>
      </c>
      <c r="H20" s="22" t="s"/>
      <c r="I20" s="9" t="s">
        <v>127</v>
      </c>
      <c r="J20" s="9" t="s">
        <v>71</v>
      </c>
      <c r="K20" s="22" t="s">
        <v>126</v>
      </c>
      <c r="L20" s="22" t="s">
        <v>104</v>
      </c>
      <c r="M20" s="10">
        <f>=IF($D20=配置调整!$A$5,VLOOKUP($K20,配置调整!$B$4:$O$29,6,0)*配置调整!$A$6,IF($D20=配置调整!$A$8,VLOOKUP($K20,配置调整!$B$4:$O$29,6,0)*配置调整!$A$9,IF($D20=配置调整!$A$11,VLOOKUP($K20,配置调整!$B$4:$O$29,6,0)*配置调整!$A$12,FALSE)))</f>
        <v>267518.4312424</v>
      </c>
      <c r="N20" s="10">
        <f>=M20</f>
        <v>267518.4312424</v>
      </c>
      <c r="O20" s="9">
        <v>0</v>
      </c>
      <c r="P20" s="11">
        <f>=M20</f>
        <v>267518.4312424</v>
      </c>
      <c r="Q20" s="10">
        <f>=M20</f>
        <v>267518.4312424</v>
      </c>
      <c r="R20" s="10">
        <f>=M20</f>
        <v>267518.4312424</v>
      </c>
      <c r="S20" s="10">
        <v>0</v>
      </c>
      <c r="T20" s="22" t="s"/>
      <c r="U20" s="4" t="s">
        <f>=IF(OR(L20="标准固收类",L20="非标固收类"),$A$2,"")</f>
      </c>
      <c r="V20" s="4" t="s">
        <f>=IF(OR(L20="标准固收类",L20="非标固收类"),EOMONTH($A$2,12),"")</f>
      </c>
      <c r="W20" s="4" t="s">
        <f>=IF(OR(L20="标准固收类",L20="非标固收类"),EOMONTH($A$2,A20*12),"")</f>
      </c>
      <c r="X20" s="22" t="s"/>
      <c r="Y20" s="13">
        <f>=VLOOKUP(资产明细!K20,配置调整!$B$4:$C$29,2,0)</f>
        <v>0.055</v>
      </c>
      <c r="Z20" s="9" t="s">
        <v>74</v>
      </c>
      <c r="AA20" s="22" t="s"/>
      <c r="AB20" s="22" t="s"/>
      <c r="AC20" s="22" t="s">
        <v>128</v>
      </c>
      <c r="AD20" s="10">
        <f>=P20</f>
        <v>267518.4312424</v>
      </c>
      <c r="AE20" s="23" t="s"/>
      <c r="AF20" s="23" t="s"/>
      <c r="AG20" s="23" t="s"/>
      <c r="AH20" s="23" t="s"/>
      <c r="AI20" s="14" t="s"/>
      <c r="AJ20" s="14" t="s"/>
      <c r="AK20" s="14" t="s"/>
      <c r="AL20" s="14" t="s"/>
      <c r="AM20" s="13" t="s">
        <f>=IF(OR(L20="标准固收类",L20="非标固收类"),Y20,"")</f>
      </c>
      <c r="AN20" s="15" t="s"/>
      <c r="AO20" s="16" t="s"/>
      <c r="AP20" s="17" t="s"/>
      <c r="AQ20" s="17" t="s"/>
      <c r="AR20" s="17" t="s"/>
      <c r="AS20" s="17" t="s"/>
      <c r="AT20" s="17" t="s"/>
      <c r="AU20" s="17" t="s"/>
      <c r="AV20" s="18" t="s"/>
      <c r="AW20" s="18" t="s"/>
      <c r="AX20" s="18" t="s"/>
      <c r="AY20" s="18" t="s"/>
      <c r="AZ20" s="18" t="s"/>
      <c r="BA20" s="14" t="s"/>
      <c r="BB20" s="17" t="s"/>
      <c r="BC20" s="17" t="s"/>
      <c r="BD20" s="17" t="s"/>
      <c r="BE20" s="17" t="s"/>
      <c r="BF20" s="15" t="s">
        <f>=AM20</f>
      </c>
      <c r="BG20" s="26">
        <f>=IF(OR(L20="标准固收类",L20="非标固收类"),"",Y20)</f>
        <v>0.055</v>
      </c>
      <c r="BH20" s="19">
        <v>0</v>
      </c>
      <c r="BI20" s="20">
        <v>0.85</v>
      </c>
      <c r="BJ20" s="20" t="s"/>
      <c r="BK20" s="20" t="s"/>
      <c r="BL20" s="20" t="s"/>
      <c r="BM20" s="20" t="s"/>
      <c r="BN20" s="21" t="s"/>
    </row>
    <row r="21" spans="2:66">
      <c r="B21" s="9" t="s">
        <v>129</v>
      </c>
      <c r="C21" s="22" t="s">
        <v>129</v>
      </c>
      <c r="D21" s="9" t="s">
        <v>67</v>
      </c>
      <c r="E21" s="22" t="s">
        <v>104</v>
      </c>
      <c r="F21" s="22" t="s">
        <v>129</v>
      </c>
      <c r="G21" s="9" t="s">
        <v>129</v>
      </c>
      <c r="H21" s="22" t="s"/>
      <c r="I21" s="9" t="s">
        <v>130</v>
      </c>
      <c r="J21" s="9" t="s">
        <v>71</v>
      </c>
      <c r="K21" s="22" t="s">
        <v>129</v>
      </c>
      <c r="L21" s="22" t="s">
        <v>104</v>
      </c>
      <c r="M21" s="10">
        <f>=IF($D21=配置调整!$A$5,VLOOKUP($K21,配置调整!$B$4:$O$29,6,0)*配置调整!$A$6,IF($D21=配置调整!$A$8,VLOOKUP($K21,配置调整!$B$4:$O$29,6,0)*配置调整!$A$9,IF($D21=配置调整!$A$11,VLOOKUP($K21,配置调整!$B$4:$O$29,6,0)*配置调整!$A$12,FALSE)))</f>
        <v>267518.4312424</v>
      </c>
      <c r="N21" s="10">
        <f>=M21</f>
        <v>267518.4312424</v>
      </c>
      <c r="O21" s="9">
        <v>0</v>
      </c>
      <c r="P21" s="11">
        <f>=M21</f>
        <v>267518.4312424</v>
      </c>
      <c r="Q21" s="10">
        <f>=M21</f>
        <v>267518.4312424</v>
      </c>
      <c r="R21" s="10">
        <f>=M21</f>
        <v>267518.4312424</v>
      </c>
      <c r="S21" s="10">
        <v>0</v>
      </c>
      <c r="T21" s="22" t="s"/>
      <c r="U21" s="4" t="s">
        <f>=IF(OR(L21="标准固收类",L21="非标固收类"),$A$2,"")</f>
      </c>
      <c r="V21" s="4" t="s">
        <f>=IF(OR(L21="标准固收类",L21="非标固收类"),EOMONTH($A$2,12),"")</f>
      </c>
      <c r="W21" s="4" t="s">
        <f>=IF(OR(L21="标准固收类",L21="非标固收类"),EOMONTH($A$2,A21*12),"")</f>
      </c>
      <c r="X21" s="22" t="s"/>
      <c r="Y21" s="13">
        <f>=VLOOKUP(资产明细!K21,配置调整!$B$4:$C$29,2,0)</f>
        <v>0.043</v>
      </c>
      <c r="Z21" s="9" t="s">
        <v>74</v>
      </c>
      <c r="AA21" s="22" t="s"/>
      <c r="AB21" s="22" t="s"/>
      <c r="AC21" s="22" t="s">
        <v>131</v>
      </c>
      <c r="AD21" s="10">
        <f>=P21</f>
        <v>267518.4312424</v>
      </c>
      <c r="AE21" s="23" t="s"/>
      <c r="AF21" s="23" t="s"/>
      <c r="AG21" s="23" t="s"/>
      <c r="AH21" s="23" t="s"/>
      <c r="AI21" s="14" t="s"/>
      <c r="AJ21" s="14" t="s"/>
      <c r="AK21" s="14" t="s"/>
      <c r="AL21" s="14" t="s"/>
      <c r="AM21" s="13" t="s">
        <f>=IF(OR(L21="标准固收类",L21="非标固收类"),Y21,"")</f>
      </c>
      <c r="AN21" s="18" t="s"/>
      <c r="AO21" s="17" t="s"/>
      <c r="AP21" s="17" t="s"/>
      <c r="AQ21" s="17" t="s"/>
      <c r="AR21" s="17" t="s"/>
      <c r="AS21" s="17" t="s"/>
      <c r="AT21" s="17" t="s"/>
      <c r="AU21" s="17" t="s"/>
      <c r="AV21" s="18" t="s"/>
      <c r="AW21" s="18" t="s"/>
      <c r="AX21" s="18" t="s"/>
      <c r="AY21" s="18" t="s"/>
      <c r="AZ21" s="18" t="s"/>
      <c r="BA21" s="14" t="s"/>
      <c r="BB21" s="17" t="s"/>
      <c r="BC21" s="17" t="s"/>
      <c r="BD21" s="17" t="s"/>
      <c r="BE21" s="17" t="s"/>
      <c r="BF21" s="15" t="s">
        <f>=AM21</f>
      </c>
      <c r="BG21" s="13">
        <f>=IF(OR(L21="标准固收类",L21="非标固收类"),"",MIN(Y21,2%))</f>
        <v>0.02</v>
      </c>
      <c r="BH21" s="19">
        <v>0</v>
      </c>
      <c r="BI21" s="20">
        <v>0.85</v>
      </c>
      <c r="BJ21" s="20" t="s"/>
      <c r="BK21" s="20" t="s"/>
      <c r="BL21" s="20" t="s"/>
      <c r="BM21" s="20" t="s"/>
      <c r="BN21" s="21" t="s"/>
    </row>
    <row r="22" spans="2:66">
      <c r="B22" s="9" t="s">
        <v>132</v>
      </c>
      <c r="C22" s="22" t="s">
        <v>132</v>
      </c>
      <c r="D22" s="9" t="s">
        <v>67</v>
      </c>
      <c r="E22" s="22" t="s">
        <v>104</v>
      </c>
      <c r="F22" s="22" t="s">
        <v>133</v>
      </c>
      <c r="G22" s="9" t="s">
        <v>132</v>
      </c>
      <c r="H22" s="22" t="s"/>
      <c r="I22" s="9" t="s">
        <v>134</v>
      </c>
      <c r="J22" s="9" t="s">
        <v>71</v>
      </c>
      <c r="K22" s="22" t="s">
        <v>132</v>
      </c>
      <c r="L22" s="22" t="s">
        <v>104</v>
      </c>
      <c r="M22" s="10">
        <f>=IF($D22=配置调整!$A$5,VLOOKUP($K22,配置调整!$B$4:$O$29,6,0)*配置调整!$A$6,IF($D22=配置调整!$A$8,VLOOKUP($K22,配置调整!$B$4:$O$29,6,0)*配置调整!$A$9,IF($D22=配置调整!$A$11,VLOOKUP($K22,配置调整!$B$4:$O$29,6,0)*配置调整!$A$12,FALSE)))</f>
        <v>267518.4312424</v>
      </c>
      <c r="N22" s="10">
        <f>=M22</f>
        <v>267518.4312424</v>
      </c>
      <c r="O22" s="9">
        <v>0</v>
      </c>
      <c r="P22" s="11">
        <f>=M22</f>
        <v>267518.4312424</v>
      </c>
      <c r="Q22" s="10">
        <f>=M22</f>
        <v>267518.4312424</v>
      </c>
      <c r="R22" s="10">
        <f>=M22</f>
        <v>267518.4312424</v>
      </c>
      <c r="S22" s="10">
        <v>0</v>
      </c>
      <c r="T22" s="22" t="s"/>
      <c r="U22" s="4" t="s">
        <f>=IF(OR(L22="标准固收类",L22="非标固收类"),$A$2,"")</f>
      </c>
      <c r="V22" s="4" t="s">
        <f>=IF(OR(L22="标准固收类",L22="非标固收类"),EOMONTH($A$2,12),"")</f>
      </c>
      <c r="W22" s="4" t="s">
        <f>=IF(OR(L22="标准固收类",L22="非标固收类"),EOMONTH($A$2,A22*12),"")</f>
      </c>
      <c r="X22" s="22" t="s"/>
      <c r="Y22" s="13">
        <f>=VLOOKUP(资产明细!K22,配置调整!$B$4:$C$29,2,0)</f>
        <v>0.05</v>
      </c>
      <c r="Z22" s="9" t="s">
        <v>74</v>
      </c>
      <c r="AA22" s="22" t="s"/>
      <c r="AB22" s="22" t="s"/>
      <c r="AC22" s="22" t="s">
        <v>131</v>
      </c>
      <c r="AD22" s="10">
        <f>=P22</f>
        <v>267518.4312424</v>
      </c>
      <c r="AE22" s="23" t="s"/>
      <c r="AF22" s="23" t="s"/>
      <c r="AG22" s="23" t="s"/>
      <c r="AH22" s="23" t="s"/>
      <c r="AI22" s="14" t="s"/>
      <c r="AJ22" s="14" t="s"/>
      <c r="AK22" s="14" t="s"/>
      <c r="AL22" s="14" t="s"/>
      <c r="AM22" s="13" t="s">
        <f>=IF(OR(L22="标准固收类",L22="非标固收类"),Y22,"")</f>
      </c>
      <c r="AN22" s="18" t="s"/>
      <c r="AO22" s="17" t="s"/>
      <c r="AP22" s="17" t="s"/>
      <c r="AQ22" s="17" t="s"/>
      <c r="AR22" s="17" t="s"/>
      <c r="AS22" s="17" t="s"/>
      <c r="AT22" s="17" t="s"/>
      <c r="AU22" s="17" t="s"/>
      <c r="AV22" s="18" t="s"/>
      <c r="AW22" s="18" t="s"/>
      <c r="AX22" s="18" t="s"/>
      <c r="AY22" s="18" t="s"/>
      <c r="AZ22" s="18" t="s"/>
      <c r="BA22" s="14" t="s"/>
      <c r="BB22" s="17" t="s"/>
      <c r="BC22" s="17" t="s"/>
      <c r="BD22" s="17" t="s"/>
      <c r="BE22" s="17" t="s"/>
      <c r="BF22" s="15" t="s">
        <f>=AM22</f>
      </c>
      <c r="BG22" s="13">
        <f>=IF(OR(L22="标准固收类",L22="非标固收类"),"",MIN(Y22,2%))</f>
        <v>0.02</v>
      </c>
      <c r="BH22" s="19">
        <v>0</v>
      </c>
      <c r="BI22" s="20">
        <v>0.85</v>
      </c>
      <c r="BJ22" s="20" t="s"/>
      <c r="BK22" s="20" t="s"/>
      <c r="BL22" s="20" t="s"/>
      <c r="BM22" s="20" t="s"/>
      <c r="BN22" s="21" t="s"/>
    </row>
    <row r="23" spans="2:66">
      <c r="B23" s="9" t="s">
        <v>135</v>
      </c>
      <c r="C23" s="22" t="s">
        <v>135</v>
      </c>
      <c r="D23" s="9" t="s">
        <v>67</v>
      </c>
      <c r="E23" s="22" t="s">
        <v>104</v>
      </c>
      <c r="F23" s="22" t="s">
        <v>133</v>
      </c>
      <c r="G23" s="9" t="s">
        <v>135</v>
      </c>
      <c r="H23" s="22" t="s"/>
      <c r="I23" s="9" t="s">
        <v>136</v>
      </c>
      <c r="J23" s="9" t="s">
        <v>71</v>
      </c>
      <c r="K23" s="22" t="s">
        <v>135</v>
      </c>
      <c r="L23" s="22" t="s">
        <v>104</v>
      </c>
      <c r="M23" s="10">
        <f>=IF($D23=配置调整!$A$5,VLOOKUP($K23,配置调整!$B$4:$O$29,6,0)*配置调整!$A$6,IF($D23=配置调整!$A$8,VLOOKUP($K23,配置调整!$B$4:$O$29,6,0)*配置调整!$A$9,IF($D23=配置调整!$A$11,VLOOKUP($K23,配置调整!$B$4:$O$29,6,0)*配置调整!$A$12,FALSE)))</f>
        <v>167452966.89966</v>
      </c>
      <c r="N23" s="10">
        <f>=M23</f>
        <v>167452966.89966</v>
      </c>
      <c r="O23" s="9">
        <v>0</v>
      </c>
      <c r="P23" s="11">
        <f>=M23</f>
        <v>167452966.89966</v>
      </c>
      <c r="Q23" s="10">
        <f>=M23</f>
        <v>167452966.89966</v>
      </c>
      <c r="R23" s="10">
        <f>=M23</f>
        <v>167452966.89966</v>
      </c>
      <c r="S23" s="10">
        <v>0</v>
      </c>
      <c r="T23" s="22" t="s"/>
      <c r="U23" s="4" t="s">
        <f>=IF(OR(L23="标准固收类",L23="非标固收类"),$A$2,"")</f>
      </c>
      <c r="V23" s="4" t="s">
        <f>=IF(OR(L23="标准固收类",L23="非标固收类"),EOMONTH($A$2,12),"")</f>
      </c>
      <c r="W23" s="4" t="s">
        <f>=IF(OR(L23="标准固收类",L23="非标固收类"),EOMONTH($A$2,A23*12),"")</f>
      </c>
      <c r="X23" s="22" t="s"/>
      <c r="Y23" s="13">
        <f>=VLOOKUP(资产明细!K23,配置调整!$B$4:$C$29,2,0)</f>
        <v>0.086</v>
      </c>
      <c r="Z23" s="9" t="s">
        <v>74</v>
      </c>
      <c r="AA23" s="22" t="s"/>
      <c r="AB23" s="22" t="s"/>
      <c r="AC23" s="22" t="s">
        <v>131</v>
      </c>
      <c r="AD23" s="10">
        <f>=P23</f>
        <v>167452966.89966</v>
      </c>
      <c r="AE23" s="23" t="s"/>
      <c r="AF23" s="23" t="s"/>
      <c r="AG23" s="23" t="s"/>
      <c r="AH23" s="23" t="s"/>
      <c r="AI23" s="14" t="s"/>
      <c r="AJ23" s="14" t="s"/>
      <c r="AK23" s="14" t="s"/>
      <c r="AL23" s="14" t="s"/>
      <c r="AM23" s="13" t="s">
        <f>=IF(OR(L23="标准固收类",L23="非标固收类"),Y23,"")</f>
      </c>
      <c r="AN23" s="15" t="s"/>
      <c r="AO23" s="16" t="s"/>
      <c r="AP23" s="17" t="s"/>
      <c r="AQ23" s="17" t="s"/>
      <c r="AR23" s="17" t="s"/>
      <c r="AS23" s="17" t="s"/>
      <c r="AT23" s="17" t="s"/>
      <c r="AU23" s="17" t="s"/>
      <c r="AV23" s="18" t="s"/>
      <c r="AW23" s="18" t="s"/>
      <c r="AX23" s="18" t="s"/>
      <c r="AY23" s="18" t="s"/>
      <c r="AZ23" s="18" t="s"/>
      <c r="BA23" s="14" t="s"/>
      <c r="BB23" s="17" t="s"/>
      <c r="BC23" s="17" t="s"/>
      <c r="BD23" s="17" t="s"/>
      <c r="BE23" s="17" t="s"/>
      <c r="BF23" s="15" t="s">
        <f>=AM23</f>
      </c>
      <c r="BG23" s="13">
        <f>=IF(OR(L23="标准固收类",L23="非标固收类"),"",MIN(Y23,2%))</f>
        <v>0.02</v>
      </c>
      <c r="BH23" s="19">
        <v>0</v>
      </c>
      <c r="BI23" s="20">
        <v>0.85</v>
      </c>
      <c r="BJ23" s="20" t="s"/>
      <c r="BK23" s="20" t="s"/>
      <c r="BL23" s="20" t="s"/>
      <c r="BM23" s="20" t="s"/>
      <c r="BN23" s="21" t="s"/>
    </row>
    <row r="24" spans="2:66">
      <c r="B24" s="9" t="s">
        <v>137</v>
      </c>
      <c r="C24" s="22" t="s">
        <v>137</v>
      </c>
      <c r="D24" s="9" t="s">
        <v>67</v>
      </c>
      <c r="E24" s="9" t="s">
        <v>68</v>
      </c>
      <c r="F24" s="22" t="s">
        <v>137</v>
      </c>
      <c r="G24" s="9" t="s">
        <v>137</v>
      </c>
      <c r="H24" s="22" t="s"/>
      <c r="I24" s="9" t="s">
        <v>138</v>
      </c>
      <c r="J24" s="9" t="s">
        <v>71</v>
      </c>
      <c r="K24" s="22" t="s">
        <v>137</v>
      </c>
      <c r="L24" s="22" t="s">
        <v>104</v>
      </c>
      <c r="M24" s="10">
        <f>=IF($D24=配置调整!$A$5,VLOOKUP($K24,配置调整!$B$4:$O$29,6,0)*配置调整!$A$6,IF($D24=配置调整!$A$8,VLOOKUP($K24,配置调整!$B$4:$O$29,6,0)*配置调整!$A$9,IF($D24=配置调整!$A$11,VLOOKUP($K24,配置调整!$B$4:$O$29,6,0)*配置调整!$A$12,FALSE)))</f>
        <v>2687729498.48662</v>
      </c>
      <c r="N24" s="10">
        <f>=M24</f>
        <v>2687729498.48662</v>
      </c>
      <c r="O24" s="9">
        <v>0</v>
      </c>
      <c r="P24" s="11">
        <f>=M24</f>
        <v>2687729498.48662</v>
      </c>
      <c r="Q24" s="10">
        <f>=M24</f>
        <v>2687729498.48662</v>
      </c>
      <c r="R24" s="10">
        <f>=M24</f>
        <v>2687729498.48662</v>
      </c>
      <c r="S24" s="10">
        <v>0</v>
      </c>
      <c r="T24" s="22" t="s"/>
      <c r="U24" s="4" t="s">
        <f>=IF(OR(L24="标准固收类",L24="非标固收类"),$A$2,"")</f>
      </c>
      <c r="V24" s="4" t="s">
        <f>=IF(OR(L24="标准固收类",L24="非标固收类"),EOMONTH($A$2,12),"")</f>
      </c>
      <c r="W24" s="4" t="s">
        <f>=IF(OR(L24="标准固收类",L24="非标固收类"),EOMONTH($A$2,A24*12),"")</f>
      </c>
      <c r="X24" s="22" t="s"/>
      <c r="Y24" s="13">
        <f>=VLOOKUP(资产明细!K24,配置调整!$B$4:$C$29,2,0)</f>
        <v>0.0348160404671754</v>
      </c>
      <c r="Z24" s="22" t="s">
        <v>74</v>
      </c>
      <c r="AA24" s="22" t="s"/>
      <c r="AB24" s="22" t="s"/>
      <c r="AC24" s="22" t="s">
        <v>119</v>
      </c>
      <c r="AD24" s="10">
        <f>=P24</f>
        <v>2687729498.48662</v>
      </c>
      <c r="AE24" s="23" t="s"/>
      <c r="AF24" s="23" t="s"/>
      <c r="AG24" s="23" t="s"/>
      <c r="AH24" s="23" t="s"/>
      <c r="AI24" s="14" t="s"/>
      <c r="AJ24" s="14" t="s"/>
      <c r="AK24" s="14" t="s"/>
      <c r="AL24" s="14" t="s"/>
      <c r="AM24" s="13" t="s">
        <f>=IF(OR(L24="标准固收类",L24="非标固收类"),Y24,"")</f>
      </c>
      <c r="AN24" s="18" t="s"/>
      <c r="AO24" s="17" t="s"/>
      <c r="AP24" s="17" t="s"/>
      <c r="AQ24" s="17" t="s"/>
      <c r="AR24" s="17" t="s"/>
      <c r="AS24" s="17" t="s"/>
      <c r="AT24" s="17" t="s"/>
      <c r="AU24" s="17" t="s"/>
      <c r="AV24" s="18" t="s"/>
      <c r="AW24" s="18" t="s"/>
      <c r="AX24" s="18" t="s"/>
      <c r="AY24" s="18" t="s"/>
      <c r="AZ24" s="18" t="s"/>
      <c r="BA24" s="14" t="s"/>
      <c r="BB24" s="17" t="s"/>
      <c r="BC24" s="17" t="s"/>
      <c r="BD24" s="17" t="s"/>
      <c r="BE24" s="17" t="s"/>
      <c r="BF24" s="15" t="s">
        <f>=AM24</f>
      </c>
      <c r="BG24" s="13">
        <f>=IF(OR(L24="标准固收类",L24="非标固收类"),"",MIN(Y24,2%))</f>
        <v>0.02</v>
      </c>
      <c r="BH24" s="19">
        <v>0</v>
      </c>
      <c r="BI24" s="20">
        <v>0.85</v>
      </c>
      <c r="BJ24" s="20" t="s"/>
      <c r="BK24" s="20" t="s"/>
      <c r="BL24" s="20" t="s"/>
      <c r="BM24" s="20" t="s"/>
      <c r="BN24" s="21" t="s"/>
    </row>
    <row r="25" spans="2:66">
      <c r="B25" s="9" t="s">
        <v>139</v>
      </c>
      <c r="C25" s="9" t="s">
        <v>139</v>
      </c>
      <c r="D25" s="9" t="s">
        <v>67</v>
      </c>
      <c r="E25" s="9" t="s">
        <v>139</v>
      </c>
      <c r="F25" s="9" t="s">
        <v>139</v>
      </c>
      <c r="G25" s="9" t="s">
        <v>139</v>
      </c>
      <c r="I25" s="9" t="s">
        <v>140</v>
      </c>
      <c r="J25" s="9" t="s">
        <v>71</v>
      </c>
      <c r="K25" s="9" t="s">
        <v>139</v>
      </c>
      <c r="L25" s="22" t="s">
        <v>139</v>
      </c>
      <c r="M25" s="10">
        <f>=IF($D25=配置调整!$A$5,VLOOKUP($K25,配置调整!$B$4:$O$29,6,0)*配置调整!$A$6,IF($D25=配置调整!$A$8,VLOOKUP($K25,配置调整!$B$4:$O$29,6,0)*配置调整!$A$9,IF($D25=配置调整!$A$11,VLOOKUP($K25,配置调整!$B$4:$O$29,6,0)*配置调整!$A$12,FALSE)))</f>
        <v>829941370.026691</v>
      </c>
      <c r="N25" s="10">
        <f>=M25</f>
        <v>829941370.026691</v>
      </c>
      <c r="O25" s="9">
        <v>0</v>
      </c>
      <c r="P25" s="11">
        <f>=M25</f>
        <v>829941370.026691</v>
      </c>
      <c r="Q25" s="10">
        <f>=M25</f>
        <v>829941370.026691</v>
      </c>
      <c r="R25" s="10">
        <f>=M25</f>
        <v>829941370.026691</v>
      </c>
      <c r="S25" s="10">
        <v>0</v>
      </c>
      <c r="T25" s="22" t="s"/>
      <c r="U25" s="4" t="s">
        <f>=IF(OR(L25="标准固收类",L25="非标固收类"),$A$2,"")</f>
      </c>
      <c r="V25" s="4" t="s">
        <f>=IF(OR(L25="标准固收类",L25="非标固收类"),EOMONTH($A$2,12),"")</f>
      </c>
      <c r="W25" s="4" t="s">
        <f>=IF(OR(L25="标准固收类",L25="非标固收类"),EOMONTH($A$2,A25*12),"")</f>
      </c>
      <c r="X25" s="22" t="s"/>
      <c r="Y25" s="13">
        <f>=VLOOKUP(资产明细!K25,配置调整!$B$4:$C$29,2,0)</f>
        <v>0.015</v>
      </c>
      <c r="Z25" s="22" t="s">
        <v>74</v>
      </c>
      <c r="AA25" s="22" t="s"/>
      <c r="AB25" s="22" t="s"/>
      <c r="AC25" s="22" t="s"/>
      <c r="AD25" s="10">
        <f>=P25</f>
        <v>829941370.026691</v>
      </c>
      <c r="AE25" s="23" t="s"/>
      <c r="AF25" s="23" t="s"/>
      <c r="AG25" s="23" t="s"/>
      <c r="AH25" s="23" t="s"/>
      <c r="AI25" s="14" t="s"/>
      <c r="AJ25" s="14" t="s"/>
      <c r="AK25" s="14" t="s"/>
      <c r="AL25" s="14" t="s"/>
      <c r="AM25" s="13" t="s">
        <f>=IF(OR(L25="标准固收类",L25="非标固收类"),Y25,"")</f>
      </c>
      <c r="AN25" s="18" t="s"/>
      <c r="AO25" s="17" t="s"/>
      <c r="AP25" s="17" t="s"/>
      <c r="AQ25" s="17" t="s"/>
      <c r="AR25" s="17" t="s"/>
      <c r="AS25" s="17" t="s"/>
      <c r="AT25" s="17" t="s"/>
      <c r="AU25" s="17" t="s"/>
      <c r="AV25" s="18" t="s"/>
      <c r="AW25" s="18" t="s"/>
      <c r="AX25" s="18" t="s"/>
      <c r="AY25" s="18" t="s"/>
      <c r="AZ25" s="18" t="s"/>
      <c r="BA25" s="14" t="s"/>
      <c r="BB25" s="17" t="s"/>
      <c r="BC25" s="17" t="s"/>
      <c r="BD25" s="17" t="s"/>
      <c r="BE25" s="17" t="s"/>
      <c r="BF25" s="15" t="s">
        <f>=AM25</f>
      </c>
      <c r="BG25" s="13">
        <f>=IF(OR(L25="标准固收类",L25="非标固收类"),"",MIN(Y25,2%))</f>
        <v>0.015</v>
      </c>
      <c r="BH25" s="19">
        <v>0</v>
      </c>
      <c r="BI25" s="20">
        <v>0.85</v>
      </c>
      <c r="BJ25" s="20" t="s"/>
      <c r="BK25" s="20" t="s"/>
      <c r="BL25" s="20" t="s"/>
      <c r="BM25" s="20" t="s"/>
      <c r="BN25" s="21" t="s"/>
    </row>
    <row r="26" spans="1:66">
      <c r="A26" s="9">
        <v>3</v>
      </c>
      <c r="B26" s="9" t="s">
        <v>141</v>
      </c>
      <c r="C26" s="9" t="s">
        <v>141</v>
      </c>
      <c r="D26" s="9" t="s">
        <v>67</v>
      </c>
      <c r="E26" s="9" t="s">
        <v>68</v>
      </c>
      <c r="F26" s="9" t="s">
        <v>141</v>
      </c>
      <c r="G26" s="9" t="s">
        <v>141</v>
      </c>
      <c r="I26" s="9" t="s">
        <v>142</v>
      </c>
      <c r="J26" s="9" t="s">
        <v>71</v>
      </c>
      <c r="K26" s="9" t="s">
        <v>141</v>
      </c>
      <c r="L26" s="22" t="s">
        <v>72</v>
      </c>
      <c r="M26" s="10">
        <f>=IF($D26=配置调整!$A$5,VLOOKUP($K26,配置调整!$B$4:$O$29,6,0)*配置调整!$A$6,IF($D26=配置调整!$A$8,VLOOKUP($K26,配置调整!$B$4:$O$29,6,0)*配置调整!$A$9,IF($D26=配置调整!$A$11,VLOOKUP($K26,配置调整!$B$4:$O$29,6,0)*配置调整!$A$12,FALSE)))</f>
        <v>3277308354.11947</v>
      </c>
      <c r="N26" s="10">
        <f>=M26</f>
        <v>3277308354.11947</v>
      </c>
      <c r="O26" s="9">
        <v>0</v>
      </c>
      <c r="P26" s="11">
        <f>=M26</f>
        <v>3277308354.11947</v>
      </c>
      <c r="Q26" s="10">
        <f>=M26</f>
        <v>3277308354.11947</v>
      </c>
      <c r="R26" s="10">
        <f>=M26</f>
        <v>3277308354.11947</v>
      </c>
      <c r="S26" s="10">
        <v>0</v>
      </c>
      <c r="T26" s="22">
        <v>1</v>
      </c>
      <c r="U26" s="4">
        <f>=IF(OR(L26="标准固收类",L26="非标固收类"),$A$2,"")</f>
        <v>45657</v>
      </c>
      <c r="V26" s="4">
        <f>=IF(OR(L26="标准固收类",L26="非标固收类"),EOMONTH($A$2,12),"")</f>
        <v>46022</v>
      </c>
      <c r="W26" s="4">
        <f>=IF(OR(L26="标准固收类",L26="非标固收类"),EOMONTH($A$2,A26*12),"")</f>
        <v>46752</v>
      </c>
      <c r="X26" s="22" t="s">
        <v>73</v>
      </c>
      <c r="Y26" s="13">
        <f>=VLOOKUP(资产明细!K26,配置调整!$B$4:$C$29,2,0)</f>
        <v>0.0316516641299411</v>
      </c>
      <c r="Z26" s="22" t="s">
        <v>74</v>
      </c>
      <c r="AA26" s="22" t="s">
        <v>143</v>
      </c>
      <c r="AB26" s="22" t="s"/>
      <c r="AC26" s="22" t="s"/>
      <c r="AD26" s="10">
        <f>=P26</f>
        <v>3277308354.11947</v>
      </c>
      <c r="AE26" s="23" t="s"/>
      <c r="AF26" s="23" t="s"/>
      <c r="AG26" s="23" t="s"/>
      <c r="AH26" s="23" t="s"/>
      <c r="AI26" s="14" t="s"/>
      <c r="AJ26" s="14" t="s"/>
      <c r="AK26" s="14" t="s"/>
      <c r="AL26" s="14" t="s"/>
      <c r="AM26" s="13">
        <f>=IF(OR(L26="标准固收类",L26="非标固收类"),Y26,"")</f>
        <v>0.0316516641299411</v>
      </c>
      <c r="AN26" s="18" t="s"/>
      <c r="AO26" s="17" t="s"/>
      <c r="AP26" s="17" t="s"/>
      <c r="AQ26" s="17" t="s"/>
      <c r="AR26" s="17" t="s"/>
      <c r="AS26" s="17" t="s"/>
      <c r="AT26" s="17" t="s"/>
      <c r="AU26" s="17" t="s"/>
      <c r="AV26" s="18" t="s"/>
      <c r="AW26" s="18" t="s"/>
      <c r="AX26" s="18" t="s"/>
      <c r="AY26" s="18" t="s"/>
      <c r="AZ26" s="18" t="s"/>
      <c r="BA26" s="14" t="s"/>
      <c r="BB26" s="17" t="s"/>
      <c r="BC26" s="17" t="s"/>
      <c r="BD26" s="17" t="s"/>
      <c r="BE26" s="17" t="s"/>
      <c r="BF26" s="15">
        <f>=AM26</f>
        <v>0.0316516641299411</v>
      </c>
      <c r="BG26" s="13" t="s">
        <f>=IF(OR(L26="标准固收类",L26="非标固收类"),"",MIN(Y26,2%))</f>
      </c>
      <c r="BH26" s="19">
        <v>0</v>
      </c>
      <c r="BI26" s="20">
        <v>0.85</v>
      </c>
      <c r="BJ26" s="20" t="s"/>
      <c r="BK26" s="20" t="s"/>
      <c r="BL26" s="20" t="s"/>
      <c r="BM26" s="20" t="s"/>
      <c r="BN26" s="21" t="s"/>
    </row>
    <row r="27" spans="1:66">
      <c r="A27" s="9">
        <v>5</v>
      </c>
      <c r="B27" s="9" t="s">
        <v>144</v>
      </c>
      <c r="C27" s="9" t="s">
        <v>144</v>
      </c>
      <c r="D27" s="9" t="s">
        <v>67</v>
      </c>
      <c r="E27" s="9" t="s">
        <v>68</v>
      </c>
      <c r="F27" s="9" t="s">
        <v>144</v>
      </c>
      <c r="G27" s="9" t="s">
        <v>144</v>
      </c>
      <c r="I27" s="9" t="s">
        <v>145</v>
      </c>
      <c r="J27" s="9" t="s">
        <v>71</v>
      </c>
      <c r="K27" s="9" t="s">
        <v>144</v>
      </c>
      <c r="L27" s="22" t="s">
        <v>72</v>
      </c>
      <c r="M27" s="10">
        <f>=IF($D27=配置调整!$A$5,VLOOKUP($K27,配置调整!$B$4:$O$29,6,0)*配置调整!$A$6,IF($D27=配置调整!$A$8,VLOOKUP($K27,配置调整!$B$4:$O$29,6,0)*配置调整!$A$9,IF($D27=配置调整!$A$11,VLOOKUP($K27,配置调整!$B$4:$O$29,6,0)*配置调整!$A$12,FALSE)))</f>
        <v>1202258409.85354</v>
      </c>
      <c r="N27" s="10">
        <f>=M27</f>
        <v>1202258409.85354</v>
      </c>
      <c r="O27" s="9">
        <v>0</v>
      </c>
      <c r="P27" s="11">
        <f>=M27</f>
        <v>1202258409.85354</v>
      </c>
      <c r="Q27" s="10">
        <f>=M27</f>
        <v>1202258409.85354</v>
      </c>
      <c r="R27" s="10">
        <f>=M27</f>
        <v>1202258409.85354</v>
      </c>
      <c r="S27" s="10">
        <v>0</v>
      </c>
      <c r="T27" s="22">
        <v>1</v>
      </c>
      <c r="U27" s="4">
        <f>=IF(OR(L27="标准固收类",L27="非标固收类"),$A$2,"")</f>
        <v>45657</v>
      </c>
      <c r="V27" s="4">
        <f>=IF(OR(L27="标准固收类",L27="非标固收类"),EOMONTH($A$2,12),"")</f>
        <v>46022</v>
      </c>
      <c r="W27" s="4">
        <f>=IF(OR(L27="标准固收类",L27="非标固收类"),EOMONTH($A$2,A27*12),"")</f>
        <v>47483</v>
      </c>
      <c r="X27" s="22" t="s">
        <v>73</v>
      </c>
      <c r="Y27" s="13">
        <f>=VLOOKUP(资产明细!K27,配置调整!$B$4:$C$29,2,0)</f>
        <v>0.028</v>
      </c>
      <c r="Z27" s="22" t="s">
        <v>74</v>
      </c>
      <c r="AA27" s="22" t="s">
        <v>87</v>
      </c>
      <c r="AB27" s="22" t="s"/>
      <c r="AC27" s="22" t="s"/>
      <c r="AD27" s="10">
        <f>=P27</f>
        <v>1202258409.85354</v>
      </c>
      <c r="AE27" s="23" t="s"/>
      <c r="AF27" s="23" t="s"/>
      <c r="AG27" s="23" t="s"/>
      <c r="AH27" s="23" t="s"/>
      <c r="AI27" s="14" t="s"/>
      <c r="AJ27" s="14" t="s"/>
      <c r="AK27" s="14" t="s"/>
      <c r="AL27" s="14" t="s"/>
      <c r="AM27" s="13">
        <f>=IF(OR(L27="标准固收类",L27="非标固收类"),Y27,"")</f>
        <v>0.028</v>
      </c>
      <c r="AN27" s="18" t="s"/>
      <c r="AO27" s="17" t="s"/>
      <c r="AP27" s="17" t="s"/>
      <c r="AQ27" s="17" t="s"/>
      <c r="AR27" s="17" t="s"/>
      <c r="AS27" s="17" t="s"/>
      <c r="AT27" s="17" t="s"/>
      <c r="AU27" s="17" t="s"/>
      <c r="AV27" s="18" t="s"/>
      <c r="AW27" s="18" t="s"/>
      <c r="AX27" s="18" t="s"/>
      <c r="AY27" s="18" t="s"/>
      <c r="AZ27" s="18" t="s"/>
      <c r="BA27" s="14" t="s"/>
      <c r="BB27" s="17" t="s"/>
      <c r="BC27" s="17" t="s"/>
      <c r="BD27" s="17" t="s"/>
      <c r="BE27" s="17" t="s"/>
      <c r="BF27" s="15">
        <f>=AM27</f>
        <v>0.028</v>
      </c>
      <c r="BG27" s="13" t="s">
        <f>=IF(OR(L27="标准固收类",L27="非标固收类"),"",MIN(Y27,2%))</f>
      </c>
      <c r="BH27" s="19">
        <v>0</v>
      </c>
      <c r="BI27" s="20">
        <v>0.85</v>
      </c>
      <c r="BJ27" s="20" t="s"/>
      <c r="BK27" s="20" t="s"/>
      <c r="BL27" s="20" t="s"/>
      <c r="BM27" s="20" t="s"/>
      <c r="BN27" s="21" t="s"/>
    </row>
    <row r="28" spans="2:66">
      <c r="B28" s="9" t="s">
        <v>146</v>
      </c>
      <c r="C28" s="9" t="s">
        <v>146</v>
      </c>
      <c r="D28" s="9" t="s">
        <v>67</v>
      </c>
      <c r="E28" s="9" t="s">
        <v>146</v>
      </c>
      <c r="F28" s="9" t="s">
        <v>146</v>
      </c>
      <c r="G28" s="9" t="s">
        <v>146</v>
      </c>
      <c r="I28" s="9" t="s">
        <v>147</v>
      </c>
      <c r="J28" s="9" t="s">
        <v>71</v>
      </c>
      <c r="K28" s="9" t="s">
        <v>146</v>
      </c>
      <c r="L28" s="22" t="s">
        <v>104</v>
      </c>
      <c r="M28" s="10">
        <f>=IF($D28=配置调整!$A$5,VLOOKUP($K28,配置调整!$B$4:$O$29,6,0)*配置调整!$A$6,IF($D28=配置调整!$A$8,VLOOKUP($K28,配置调整!$B$4:$O$29,6,0)*配置调整!$A$9,IF($D28=配置调整!$A$11,VLOOKUP($K28,配置调整!$B$4:$O$29,6,0)*配置调整!$A$12,FALSE)))</f>
        <v>2611991867.46325</v>
      </c>
      <c r="N28" s="10">
        <f>=M28</f>
        <v>2611991867.46325</v>
      </c>
      <c r="O28" s="9">
        <v>0</v>
      </c>
      <c r="P28" s="11">
        <f>=M28</f>
        <v>2611991867.46325</v>
      </c>
      <c r="Q28" s="10">
        <f>=M28</f>
        <v>2611991867.46325</v>
      </c>
      <c r="R28" s="10">
        <f>=M28</f>
        <v>2611991867.46325</v>
      </c>
      <c r="S28" s="10">
        <v>0</v>
      </c>
      <c r="T28" s="22" t="s"/>
      <c r="U28" s="4" t="s">
        <f>=IF(OR(L28="标准固收类",L28="非标固收类"),$A$2,"")</f>
      </c>
      <c r="V28" s="4" t="s">
        <f>=IF(OR(L28="标准固收类",L28="非标固收类"),EOMONTH($A$2,12),"")</f>
      </c>
      <c r="W28" s="4" t="s">
        <f>=IF(OR(L28="标准固收类",L28="非标固收类"),EOMONTH($A$2,A28*12),"")</f>
      </c>
      <c r="X28" s="22" t="s"/>
      <c r="Y28" s="13">
        <f>=VLOOKUP(资产明细!K28,配置调整!$B$4:$C$29,2,0)</f>
        <v>0.065</v>
      </c>
      <c r="Z28" s="22" t="s">
        <v>74</v>
      </c>
      <c r="AA28" s="22" t="s"/>
      <c r="AB28" s="22" t="s"/>
      <c r="AC28" s="22" t="s">
        <v>148</v>
      </c>
      <c r="AD28" s="10">
        <f>=P28</f>
        <v>2611991867.46325</v>
      </c>
      <c r="AE28" s="23" t="s"/>
      <c r="AF28" s="23" t="s"/>
      <c r="AG28" s="23" t="s"/>
      <c r="AH28" s="23" t="s"/>
      <c r="AI28" s="14" t="s"/>
      <c r="AJ28" s="14" t="s"/>
      <c r="AK28" s="14" t="s"/>
      <c r="AL28" s="14" t="s"/>
      <c r="AM28" s="13" t="s">
        <f>=IF(OR(L28="标准固收类",L28="非标固收类"),Y28,"")</f>
      </c>
      <c r="AN28" s="18" t="s"/>
      <c r="AO28" s="17" t="s"/>
      <c r="AP28" s="17" t="s"/>
      <c r="AQ28" s="17" t="s"/>
      <c r="AR28" s="17" t="s"/>
      <c r="AS28" s="17" t="s"/>
      <c r="AT28" s="17" t="s"/>
      <c r="AU28" s="17" t="s"/>
      <c r="AV28" s="18" t="s"/>
      <c r="AW28" s="18" t="s"/>
      <c r="AX28" s="18" t="s"/>
      <c r="AY28" s="18" t="s"/>
      <c r="AZ28" s="18" t="s"/>
      <c r="BA28" s="14" t="s"/>
      <c r="BB28" s="17" t="s"/>
      <c r="BC28" s="17" t="s"/>
      <c r="BD28" s="17" t="s"/>
      <c r="BE28" s="17" t="s"/>
      <c r="BF28" s="15" t="s">
        <f>=AM28</f>
      </c>
      <c r="BG28" s="13">
        <f>=IF(OR(L28="标准固收类",L28="非标固收类"),"",MIN(Y28,2%))</f>
        <v>0.02</v>
      </c>
      <c r="BH28" s="19">
        <v>0</v>
      </c>
      <c r="BI28" s="20">
        <v>0.85</v>
      </c>
      <c r="BJ28" s="20" t="s"/>
      <c r="BK28" s="20" t="s"/>
      <c r="BL28" s="20" t="s"/>
      <c r="BM28" s="20" t="s"/>
      <c r="BN28" s="21" t="s"/>
    </row>
    <row r="29" spans="1:66">
      <c r="A29" s="9">
        <v>3</v>
      </c>
      <c r="B29" s="9" t="s">
        <v>149</v>
      </c>
      <c r="C29" s="9" t="s">
        <v>66</v>
      </c>
      <c r="D29" s="9" t="s">
        <v>150</v>
      </c>
      <c r="E29" s="9" t="s">
        <v>68</v>
      </c>
      <c r="F29" s="9" t="s">
        <v>69</v>
      </c>
      <c r="G29" s="9" t="s">
        <v>66</v>
      </c>
      <c r="I29" s="9" t="s">
        <v>70</v>
      </c>
      <c r="J29" s="9" t="s">
        <v>71</v>
      </c>
      <c r="K29" s="9" t="s">
        <v>66</v>
      </c>
      <c r="L29" s="9" t="s">
        <v>72</v>
      </c>
      <c r="M29" s="10">
        <f>=IF($D29=配置调整!$A$5,VLOOKUP($K29,配置调整!$B$4:$O$29,6,0)*配置调整!$A$6,IF($D29=配置调整!$A$8,VLOOKUP($K29,配置调整!$B$4:$O$29,6,0)*配置调整!$A$9,IF($D29=配置调整!$A$11,VLOOKUP($K29,配置调整!$B$4:$O$29,6,0)*配置调整!$A$12,FALSE)))</f>
        <v>98950473.6447106</v>
      </c>
      <c r="N29" s="10">
        <f>=M29</f>
        <v>98950473.6447106</v>
      </c>
      <c r="O29" s="9">
        <v>0</v>
      </c>
      <c r="P29" s="11">
        <f>=M29</f>
        <v>98950473.6447106</v>
      </c>
      <c r="Q29" s="10">
        <f>=M29</f>
        <v>98950473.6447106</v>
      </c>
      <c r="R29" s="10">
        <f>=M29</f>
        <v>98950473.6447106</v>
      </c>
      <c r="S29" s="10">
        <v>0</v>
      </c>
      <c r="T29" s="12">
        <v>1</v>
      </c>
      <c r="U29" s="4">
        <f>=IF(OR(L29="标准固收类",L29="非标固收类"),$A$2,"")</f>
        <v>45657</v>
      </c>
      <c r="V29" s="4">
        <f>=IF(OR(L29="标准固收类",L29="非标固收类"),EOMONTH($A$2,12),"")</f>
        <v>46022</v>
      </c>
      <c r="W29" s="4">
        <f>=IF(OR(L29="标准固收类",L29="非标固收类"),EOMONTH($A$2,A29*12),"")</f>
        <v>46752</v>
      </c>
      <c r="X29" s="9" t="s">
        <v>73</v>
      </c>
      <c r="Y29" s="13">
        <f>=VLOOKUP(资产明细!K29,配置调整!$B$4:$C$29,2,0)</f>
        <v>0.011872</v>
      </c>
      <c r="Z29" s="9" t="s">
        <v>74</v>
      </c>
      <c r="AD29" s="10">
        <f>=P29</f>
        <v>98950473.6447106</v>
      </c>
      <c r="AI29" s="14" t="s"/>
      <c r="AJ29" s="14" t="s"/>
      <c r="AK29" s="14" t="s"/>
      <c r="AL29" s="14" t="s"/>
      <c r="AM29" s="13">
        <f>=IF(OR(L29="标准固收类",L29="非标固收类"),Y29,"")</f>
        <v>0.011872</v>
      </c>
      <c r="AN29" s="15" t="s"/>
      <c r="AO29" s="16" t="s"/>
      <c r="AP29" s="17" t="s"/>
      <c r="AQ29" s="17" t="s"/>
      <c r="AR29" s="17" t="s"/>
      <c r="AS29" s="17" t="s"/>
      <c r="AT29" s="17" t="s"/>
      <c r="AU29" s="17" t="s"/>
      <c r="AV29" s="18" t="s"/>
      <c r="AW29" s="18" t="s"/>
      <c r="AX29" s="18" t="s"/>
      <c r="AY29" s="18" t="s"/>
      <c r="AZ29" s="18" t="s"/>
      <c r="BA29" s="14" t="s"/>
      <c r="BB29" s="17" t="s"/>
      <c r="BC29" s="17" t="s"/>
      <c r="BD29" s="17" t="s"/>
      <c r="BE29" s="17" t="s"/>
      <c r="BF29" s="15">
        <f>=AM29</f>
        <v>0.011872</v>
      </c>
      <c r="BG29" s="13" t="s">
        <f>=IF(OR(L29="标准固收类",L29="非标固收类"),"",MIN(Y29,2%))</f>
      </c>
      <c r="BH29" s="19">
        <v>0</v>
      </c>
      <c r="BI29" s="20">
        <v>0.85</v>
      </c>
      <c r="BJ29" s="20" t="s"/>
      <c r="BK29" s="20" t="s"/>
      <c r="BL29" s="20" t="s"/>
      <c r="BM29" s="20" t="s"/>
      <c r="BN29" s="21" t="s"/>
    </row>
    <row r="30" spans="1:66">
      <c r="A30" s="9">
        <v>5</v>
      </c>
      <c r="B30" s="9" t="s">
        <v>151</v>
      </c>
      <c r="C30" s="9" t="s">
        <v>75</v>
      </c>
      <c r="D30" s="9" t="s">
        <v>150</v>
      </c>
      <c r="E30" s="9" t="s">
        <v>68</v>
      </c>
      <c r="F30" s="9" t="s">
        <v>69</v>
      </c>
      <c r="G30" s="9" t="s">
        <v>75</v>
      </c>
      <c r="I30" s="9" t="s">
        <v>76</v>
      </c>
      <c r="J30" s="9" t="s">
        <v>71</v>
      </c>
      <c r="K30" s="9" t="s">
        <v>75</v>
      </c>
      <c r="L30" s="9" t="s">
        <v>72</v>
      </c>
      <c r="M30" s="10">
        <f>=IF($D30=配置调整!$A$5,VLOOKUP($K30,配置调整!$B$4:$O$29,6,0)*配置调整!$A$6,IF($D30=配置调整!$A$8,VLOOKUP($K30,配置调整!$B$4:$O$29,6,0)*配置调整!$A$9,IF($D30=配置调整!$A$11,VLOOKUP($K30,配置调整!$B$4:$O$29,6,0)*配置调整!$A$12,FALSE)))</f>
        <v>208409706.4459</v>
      </c>
      <c r="N30" s="10">
        <f>=M30</f>
        <v>208409706.4459</v>
      </c>
      <c r="O30" s="9">
        <v>0</v>
      </c>
      <c r="P30" s="11">
        <f>=M30</f>
        <v>208409706.4459</v>
      </c>
      <c r="Q30" s="10">
        <f>=M30</f>
        <v>208409706.4459</v>
      </c>
      <c r="R30" s="10">
        <f>=M30</f>
        <v>208409706.4459</v>
      </c>
      <c r="S30" s="10">
        <v>0</v>
      </c>
      <c r="T30" s="12">
        <v>1</v>
      </c>
      <c r="U30" s="4">
        <f>=IF(OR(L30="标准固收类",L30="非标固收类"),$A$2,"")</f>
        <v>45657</v>
      </c>
      <c r="V30" s="4">
        <f>=IF(OR(L30="标准固收类",L30="非标固收类"),EOMONTH($A$2,12),"")</f>
        <v>46022</v>
      </c>
      <c r="W30" s="4">
        <f>=IF(OR(L30="标准固收类",L30="非标固收类"),EOMONTH($A$2,A30*12),"")</f>
        <v>47483</v>
      </c>
      <c r="X30" s="9" t="s">
        <v>73</v>
      </c>
      <c r="Y30" s="13">
        <f>=VLOOKUP(资产明细!K30,配置调整!$B$4:$C$29,2,0)</f>
        <v>0.014152</v>
      </c>
      <c r="Z30" s="9" t="s">
        <v>74</v>
      </c>
      <c r="AD30" s="10">
        <f>=P30</f>
        <v>208409706.4459</v>
      </c>
      <c r="AI30" s="14" t="s"/>
      <c r="AJ30" s="14" t="s"/>
      <c r="AK30" s="14" t="s"/>
      <c r="AL30" s="14" t="s"/>
      <c r="AM30" s="13">
        <f>=IF(OR(L30="标准固收类",L30="非标固收类"),Y30,"")</f>
        <v>0.014152</v>
      </c>
      <c r="AN30" s="18" t="s"/>
      <c r="AO30" s="17" t="s"/>
      <c r="AP30" s="17" t="s"/>
      <c r="AQ30" s="17" t="s"/>
      <c r="AR30" s="17" t="s"/>
      <c r="AS30" s="17" t="s"/>
      <c r="AT30" s="17" t="s"/>
      <c r="AU30" s="17" t="s"/>
      <c r="AV30" s="18" t="s"/>
      <c r="AW30" s="18" t="s"/>
      <c r="AX30" s="18" t="s"/>
      <c r="AY30" s="18" t="s"/>
      <c r="AZ30" s="18" t="s"/>
      <c r="BA30" s="14" t="s"/>
      <c r="BB30" s="17" t="s"/>
      <c r="BC30" s="17" t="s"/>
      <c r="BD30" s="17" t="s"/>
      <c r="BE30" s="17" t="s"/>
      <c r="BF30" s="15">
        <f>=AM30</f>
        <v>0.014152</v>
      </c>
      <c r="BG30" s="13" t="s">
        <f>=IF(OR(L30="标准固收类",L30="非标固收类"),"",MIN(Y30,2%))</f>
      </c>
      <c r="BH30" s="19">
        <v>0</v>
      </c>
      <c r="BI30" s="20">
        <v>0.85</v>
      </c>
      <c r="BJ30" s="20" t="s"/>
      <c r="BK30" s="20" t="s"/>
      <c r="BL30" s="20" t="s"/>
      <c r="BM30" s="20" t="s"/>
      <c r="BN30" s="21" t="s"/>
    </row>
    <row r="31" spans="1:66">
      <c r="A31" s="9">
        <v>10</v>
      </c>
      <c r="B31" s="9" t="s">
        <v>152</v>
      </c>
      <c r="C31" s="9" t="s">
        <v>77</v>
      </c>
      <c r="D31" s="9" t="s">
        <v>150</v>
      </c>
      <c r="E31" s="9" t="s">
        <v>68</v>
      </c>
      <c r="F31" s="9" t="s">
        <v>69</v>
      </c>
      <c r="G31" s="9" t="s">
        <v>77</v>
      </c>
      <c r="I31" s="9" t="s">
        <v>78</v>
      </c>
      <c r="J31" s="9" t="s">
        <v>71</v>
      </c>
      <c r="K31" s="9" t="s">
        <v>77</v>
      </c>
      <c r="L31" s="9" t="s">
        <v>72</v>
      </c>
      <c r="M31" s="10">
        <f>=IF($D31=配置调整!$A$5,VLOOKUP($K31,配置调整!$B$4:$O$29,6,0)*配置调整!$A$6,IF($D31=配置调整!$A$8,VLOOKUP($K31,配置调整!$B$4:$O$29,6,0)*配置调整!$A$9,IF($D31=配置调整!$A$11,VLOOKUP($K31,配置调整!$B$4:$O$29,6,0)*配置调整!$A$12,FALSE)))</f>
        <v>869345390.680024</v>
      </c>
      <c r="N31" s="10">
        <f>=M31</f>
        <v>869345390.680024</v>
      </c>
      <c r="O31" s="9">
        <v>0</v>
      </c>
      <c r="P31" s="11">
        <f>=M31</f>
        <v>869345390.680024</v>
      </c>
      <c r="Q31" s="10">
        <f>=M31</f>
        <v>869345390.680024</v>
      </c>
      <c r="R31" s="10">
        <f>=M31</f>
        <v>869345390.680024</v>
      </c>
      <c r="S31" s="10">
        <v>0</v>
      </c>
      <c r="T31" s="12">
        <v>1</v>
      </c>
      <c r="U31" s="4">
        <f>=IF(OR(L31="标准固收类",L31="非标固收类"),$A$2,"")</f>
        <v>45657</v>
      </c>
      <c r="V31" s="4">
        <f>=IF(OR(L31="标准固收类",L31="非标固收类"),EOMONTH($A$2,12),"")</f>
        <v>46022</v>
      </c>
      <c r="W31" s="4">
        <f>=IF(OR(L31="标准固收类",L31="非标固收类"),EOMONTH($A$2,A31*12),"")</f>
        <v>49309</v>
      </c>
      <c r="X31" s="9" t="s">
        <v>73</v>
      </c>
      <c r="Y31" s="13">
        <f>=VLOOKUP(资产明细!K31,配置调整!$B$4:$C$29,2,0)</f>
        <v>0.016752</v>
      </c>
      <c r="Z31" s="9" t="s">
        <v>74</v>
      </c>
      <c r="AD31" s="10">
        <f>=P31</f>
        <v>869345390.680024</v>
      </c>
      <c r="AI31" s="14" t="s"/>
      <c r="AJ31" s="14" t="s"/>
      <c r="AK31" s="14" t="s"/>
      <c r="AL31" s="14" t="s"/>
      <c r="AM31" s="13">
        <f>=IF(OR(L31="标准固收类",L31="非标固收类"),Y31,"")</f>
        <v>0.016752</v>
      </c>
      <c r="AN31" s="15" t="s"/>
      <c r="AO31" s="16" t="s"/>
      <c r="AP31" s="17" t="s"/>
      <c r="AQ31" s="17" t="s"/>
      <c r="AR31" s="17" t="s"/>
      <c r="AS31" s="17" t="s"/>
      <c r="AT31" s="17" t="s"/>
      <c r="AU31" s="17" t="s"/>
      <c r="AV31" s="18" t="s"/>
      <c r="AW31" s="18" t="s"/>
      <c r="AX31" s="18" t="s"/>
      <c r="AY31" s="18" t="s"/>
      <c r="AZ31" s="18" t="s"/>
      <c r="BA31" s="14" t="s"/>
      <c r="BB31" s="24" t="s"/>
      <c r="BC31" s="17" t="s"/>
      <c r="BD31" s="17" t="s"/>
      <c r="BE31" s="17" t="s"/>
      <c r="BF31" s="15">
        <f>=AM31</f>
        <v>0.016752</v>
      </c>
      <c r="BG31" s="13" t="s">
        <f>=IF(OR(L31="标准固收类",L31="非标固收类"),"",MIN(Y31,2%))</f>
      </c>
      <c r="BH31" s="19">
        <v>0</v>
      </c>
      <c r="BI31" s="20">
        <v>0.85</v>
      </c>
      <c r="BJ31" s="20" t="s"/>
      <c r="BK31" s="20" t="s"/>
      <c r="BL31" s="20" t="s"/>
      <c r="BM31" s="20" t="s"/>
      <c r="BN31" s="21" t="s"/>
    </row>
    <row r="32" spans="1:66">
      <c r="A32" s="9">
        <v>20</v>
      </c>
      <c r="B32" s="9" t="s">
        <v>153</v>
      </c>
      <c r="C32" s="9" t="s">
        <v>79</v>
      </c>
      <c r="D32" s="9" t="s">
        <v>150</v>
      </c>
      <c r="E32" s="9" t="s">
        <v>68</v>
      </c>
      <c r="F32" s="9" t="s">
        <v>69</v>
      </c>
      <c r="G32" s="9" t="s">
        <v>79</v>
      </c>
      <c r="I32" s="9" t="s">
        <v>80</v>
      </c>
      <c r="J32" s="9" t="s">
        <v>71</v>
      </c>
      <c r="K32" s="9" t="s">
        <v>79</v>
      </c>
      <c r="L32" s="9" t="s">
        <v>72</v>
      </c>
      <c r="M32" s="10">
        <f>=IF($D32=配置调整!$A$5,VLOOKUP($K32,配置调整!$B$4:$O$29,6,0)*配置调整!$A$6,IF($D32=配置调整!$A$8,VLOOKUP($K32,配置调整!$B$4:$O$29,6,0)*配置调整!$A$9,IF($D32=配置调整!$A$11,VLOOKUP($K32,配置调整!$B$4:$O$29,6,0)*配置调整!$A$12,FALSE)))</f>
        <v>3801995679.48858</v>
      </c>
      <c r="N32" s="10">
        <f>=M32</f>
        <v>3801995679.48858</v>
      </c>
      <c r="O32" s="9">
        <v>0</v>
      </c>
      <c r="P32" s="11">
        <f>=M32</f>
        <v>3801995679.48858</v>
      </c>
      <c r="Q32" s="10">
        <f>=M32</f>
        <v>3801995679.48858</v>
      </c>
      <c r="R32" s="10">
        <f>=M32</f>
        <v>3801995679.48858</v>
      </c>
      <c r="S32" s="10">
        <v>0</v>
      </c>
      <c r="T32" s="12">
        <v>1</v>
      </c>
      <c r="U32" s="4">
        <f>=IF(OR(L32="标准固收类",L32="非标固收类"),$A$2,"")</f>
        <v>45657</v>
      </c>
      <c r="V32" s="4">
        <f>=IF(OR(L32="标准固收类",L32="非标固收类"),EOMONTH($A$2,12),"")</f>
        <v>46022</v>
      </c>
      <c r="W32" s="4">
        <f>=IF(OR(L32="标准固收类",L32="非标固收类"),EOMONTH($A$2,A32*12),"")</f>
        <v>52962</v>
      </c>
      <c r="X32" s="9" t="s">
        <v>73</v>
      </c>
      <c r="Y32" s="13">
        <f>=VLOOKUP(资产明细!K32,配置调整!$B$4:$C$29,2,0)</f>
        <v>0.019747</v>
      </c>
      <c r="Z32" s="9" t="s">
        <v>74</v>
      </c>
      <c r="AD32" s="10">
        <f>=P32</f>
        <v>3801995679.48858</v>
      </c>
      <c r="AI32" s="14" t="s"/>
      <c r="AJ32" s="14" t="s"/>
      <c r="AK32" s="14" t="s"/>
      <c r="AL32" s="14" t="s"/>
      <c r="AM32" s="13">
        <f>=IF(OR(L32="标准固收类",L32="非标固收类"),Y32,"")</f>
        <v>0.019747</v>
      </c>
      <c r="AN32" s="18" t="s"/>
      <c r="AO32" s="17" t="s"/>
      <c r="AP32" s="17" t="s"/>
      <c r="AQ32" s="17" t="s"/>
      <c r="AR32" s="17" t="s"/>
      <c r="AS32" s="17" t="s"/>
      <c r="AT32" s="17" t="s"/>
      <c r="AU32" s="17" t="s"/>
      <c r="AV32" s="18" t="s"/>
      <c r="AW32" s="18" t="s"/>
      <c r="AX32" s="18" t="s"/>
      <c r="AY32" s="18" t="s"/>
      <c r="AZ32" s="18" t="s"/>
      <c r="BA32" s="14" t="s"/>
      <c r="BB32" s="17" t="s"/>
      <c r="BC32" s="17" t="s"/>
      <c r="BD32" s="17" t="s"/>
      <c r="BE32" s="17" t="s"/>
      <c r="BF32" s="15">
        <f>=AM32</f>
        <v>0.019747</v>
      </c>
      <c r="BG32" s="13" t="s">
        <f>=IF(OR(L32="标准固收类",L32="非标固收类"),"",MIN(Y32,2%))</f>
      </c>
      <c r="BH32" s="19">
        <v>0</v>
      </c>
      <c r="BI32" s="20">
        <v>0.85</v>
      </c>
      <c r="BJ32" s="20" t="s"/>
      <c r="BK32" s="20" t="s"/>
      <c r="BL32" s="20" t="s"/>
      <c r="BM32" s="20" t="s"/>
      <c r="BN32" s="21" t="s"/>
    </row>
    <row r="33" spans="1:66">
      <c r="A33" s="9">
        <v>50</v>
      </c>
      <c r="B33" s="9" t="s">
        <v>154</v>
      </c>
      <c r="C33" s="9" t="s">
        <v>81</v>
      </c>
      <c r="D33" s="9" t="s">
        <v>150</v>
      </c>
      <c r="E33" s="9" t="s">
        <v>68</v>
      </c>
      <c r="F33" s="9" t="s">
        <v>69</v>
      </c>
      <c r="G33" s="9" t="s">
        <v>81</v>
      </c>
      <c r="I33" s="9" t="s">
        <v>82</v>
      </c>
      <c r="J33" s="9" t="s">
        <v>71</v>
      </c>
      <c r="K33" s="9" t="s">
        <v>81</v>
      </c>
      <c r="L33" s="9" t="s">
        <v>72</v>
      </c>
      <c r="M33" s="10">
        <f>=IF($D33=配置调整!$A$5,VLOOKUP($K33,配置调整!$B$4:$O$29,6,0)*配置调整!$A$6,IF($D33=配置调整!$A$8,VLOOKUP($K33,配置调整!$B$4:$O$29,6,0)*配置调整!$A$9,IF($D33=配置调整!$A$11,VLOOKUP($K33,配置调整!$B$4:$O$29,6,0)*配置调整!$A$12,FALSE)))</f>
        <v>5514830274.8757</v>
      </c>
      <c r="N33" s="10">
        <f>=M33</f>
        <v>5514830274.8757</v>
      </c>
      <c r="O33" s="9">
        <v>0</v>
      </c>
      <c r="P33" s="11">
        <f>=M33</f>
        <v>5514830274.8757</v>
      </c>
      <c r="Q33" s="10">
        <f>=M33</f>
        <v>5514830274.8757</v>
      </c>
      <c r="R33" s="10">
        <f>=M33</f>
        <v>5514830274.8757</v>
      </c>
      <c r="S33" s="10">
        <v>0</v>
      </c>
      <c r="T33" s="12">
        <v>1</v>
      </c>
      <c r="U33" s="4">
        <f>=IF(OR(L33="标准固收类",L33="非标固收类"),$A$2,"")</f>
        <v>45657</v>
      </c>
      <c r="V33" s="4">
        <f>=IF(OR(L33="标准固收类",L33="非标固收类"),EOMONTH($A$2,12),"")</f>
        <v>46022</v>
      </c>
      <c r="W33" s="4">
        <f>=IF(OR(L33="标准固收类",L33="非标固收类"),EOMONTH($A$2,A33*12),"")</f>
        <v>63919</v>
      </c>
      <c r="X33" s="9" t="s">
        <v>73</v>
      </c>
      <c r="Y33" s="13">
        <f>=VLOOKUP(资产明细!K33,配置调整!$B$4:$C$29,2,0)</f>
        <v>0.019875</v>
      </c>
      <c r="Z33" s="9" t="s">
        <v>74</v>
      </c>
      <c r="AD33" s="10">
        <f>=P33</f>
        <v>5514830274.8757</v>
      </c>
      <c r="AI33" s="14" t="s"/>
      <c r="AJ33" s="14" t="s"/>
      <c r="AK33" s="14" t="s"/>
      <c r="AL33" s="14" t="s"/>
      <c r="AM33" s="13">
        <f>=IF(OR(L33="标准固收类",L33="非标固收类"),Y33,"")</f>
        <v>0.019875</v>
      </c>
      <c r="AN33" s="18" t="s"/>
      <c r="AO33" s="17" t="s"/>
      <c r="AP33" s="17" t="s"/>
      <c r="AQ33" s="17" t="s"/>
      <c r="AR33" s="17" t="s"/>
      <c r="AS33" s="17" t="s"/>
      <c r="AT33" s="17" t="s"/>
      <c r="AU33" s="17" t="s"/>
      <c r="AV33" s="18" t="s"/>
      <c r="AW33" s="18" t="s"/>
      <c r="AX33" s="18" t="s"/>
      <c r="AY33" s="18" t="s"/>
      <c r="AZ33" s="18" t="s"/>
      <c r="BA33" s="14" t="s"/>
      <c r="BB33" s="17" t="s"/>
      <c r="BC33" s="17" t="s"/>
      <c r="BD33" s="17" t="s"/>
      <c r="BE33" s="17" t="s"/>
      <c r="BF33" s="15">
        <f>=AM33</f>
        <v>0.019875</v>
      </c>
      <c r="BG33" s="13" t="s">
        <f>=IF(OR(L33="标准固收类",L33="非标固收类"),"",MIN(Y33,2%))</f>
      </c>
      <c r="BH33" s="19">
        <v>0</v>
      </c>
      <c r="BI33" s="20">
        <v>0.85</v>
      </c>
      <c r="BJ33" s="20" t="s"/>
      <c r="BK33" s="20" t="s"/>
      <c r="BL33" s="20" t="s"/>
      <c r="BM33" s="20" t="s"/>
      <c r="BN33" s="21" t="s"/>
    </row>
    <row r="34" spans="1:66">
      <c r="A34" s="9">
        <v>3</v>
      </c>
      <c r="B34" s="9" t="s">
        <v>155</v>
      </c>
      <c r="C34" s="22" t="s">
        <v>83</v>
      </c>
      <c r="D34" s="9" t="s">
        <v>150</v>
      </c>
      <c r="E34" s="9" t="s">
        <v>68</v>
      </c>
      <c r="F34" s="22" t="s">
        <v>84</v>
      </c>
      <c r="G34" s="9" t="s">
        <v>83</v>
      </c>
      <c r="H34" s="22" t="s"/>
      <c r="I34" s="9" t="s">
        <v>85</v>
      </c>
      <c r="J34" s="9" t="s">
        <v>71</v>
      </c>
      <c r="K34" s="22" t="s">
        <v>86</v>
      </c>
      <c r="L34" s="9" t="s">
        <v>72</v>
      </c>
      <c r="M34" s="10">
        <f>=IF($D34=配置调整!$A$5,VLOOKUP($K34,配置调整!$B$4:$O$29,6,0)*配置调整!$A$6,IF($D34=配置调整!$A$8,VLOOKUP($K34,配置调整!$B$4:$O$29,6,0)*配置调整!$A$9,IF($D34=配置调整!$A$11,VLOOKUP($K34,配置调整!$B$4:$O$29,6,0)*配置调整!$A$12,FALSE)))</f>
        <v>1818525684.45735</v>
      </c>
      <c r="N34" s="10">
        <f>=M34</f>
        <v>1818525684.45735</v>
      </c>
      <c r="O34" s="9">
        <v>0</v>
      </c>
      <c r="P34" s="11">
        <f>=M34</f>
        <v>1818525684.45735</v>
      </c>
      <c r="Q34" s="10">
        <f>=M34</f>
        <v>1818525684.45735</v>
      </c>
      <c r="R34" s="10">
        <f>=M34</f>
        <v>1818525684.45735</v>
      </c>
      <c r="S34" s="10">
        <v>0</v>
      </c>
      <c r="T34" s="12">
        <v>1</v>
      </c>
      <c r="U34" s="4">
        <f>=IF(OR(L34="标准固收类",L34="非标固收类"),$A$2,"")</f>
        <v>45657</v>
      </c>
      <c r="V34" s="4">
        <f>=IF(OR(L34="标准固收类",L34="非标固收类"),EOMONTH($A$2,12),"")</f>
        <v>46022</v>
      </c>
      <c r="W34" s="4">
        <f>=IF(OR(L34="标准固收类",L34="非标固收类"),EOMONTH($A$2,A34*12),"")</f>
        <v>46752</v>
      </c>
      <c r="X34" s="9" t="s">
        <v>73</v>
      </c>
      <c r="Y34" s="13">
        <f>=VLOOKUP(资产明细!K34,配置调整!$B$4:$C$29,2,0)</f>
        <v>0.017501</v>
      </c>
      <c r="Z34" s="9" t="s">
        <v>74</v>
      </c>
      <c r="AA34" s="22" t="s">
        <v>87</v>
      </c>
      <c r="AB34" s="22" t="s"/>
      <c r="AC34" s="22" t="s"/>
      <c r="AD34" s="10">
        <f>=P34</f>
        <v>1818525684.45735</v>
      </c>
      <c r="AE34" s="23" t="s"/>
      <c r="AF34" s="23" t="s"/>
      <c r="AG34" s="23" t="s"/>
      <c r="AH34" s="23" t="s"/>
      <c r="AI34" s="14" t="s"/>
      <c r="AJ34" s="14" t="s"/>
      <c r="AK34" s="14" t="s"/>
      <c r="AL34" s="14" t="s"/>
      <c r="AM34" s="13">
        <f>=IF(OR(L34="标准固收类",L34="非标固收类"),Y34,"")</f>
        <v>0.017501</v>
      </c>
      <c r="AN34" s="15" t="s"/>
      <c r="AO34" s="16" t="s"/>
      <c r="AP34" s="17" t="s"/>
      <c r="AQ34" s="17" t="s"/>
      <c r="AR34" s="17" t="s"/>
      <c r="AS34" s="17" t="s"/>
      <c r="AT34" s="17" t="s"/>
      <c r="AU34" s="17" t="s"/>
      <c r="AV34" s="18" t="s"/>
      <c r="AW34" s="18" t="s"/>
      <c r="AX34" s="18" t="s"/>
      <c r="AY34" s="18" t="s"/>
      <c r="AZ34" s="18" t="s"/>
      <c r="BA34" s="14" t="s"/>
      <c r="BB34" s="17" t="s"/>
      <c r="BC34" s="17" t="s"/>
      <c r="BD34" s="17" t="s"/>
      <c r="BE34" s="17" t="s"/>
      <c r="BF34" s="15">
        <f>=AM34</f>
        <v>0.017501</v>
      </c>
      <c r="BG34" s="13" t="s">
        <f>=IF(OR(L34="标准固收类",L34="非标固收类"),"",MIN(Y34,2%))</f>
      </c>
      <c r="BH34" s="19">
        <v>0</v>
      </c>
      <c r="BI34" s="20">
        <v>0.85</v>
      </c>
      <c r="BJ34" s="20" t="s"/>
      <c r="BK34" s="20" t="s"/>
      <c r="BL34" s="20" t="s"/>
      <c r="BM34" s="20" t="s"/>
      <c r="BN34" s="21" t="s"/>
    </row>
    <row r="35" spans="1:66">
      <c r="A35" s="9">
        <v>5</v>
      </c>
      <c r="B35" s="9" t="s">
        <v>156</v>
      </c>
      <c r="C35" s="22" t="s">
        <v>88</v>
      </c>
      <c r="D35" s="9" t="s">
        <v>150</v>
      </c>
      <c r="E35" s="9" t="s">
        <v>68</v>
      </c>
      <c r="F35" s="22" t="s">
        <v>84</v>
      </c>
      <c r="G35" s="9" t="s">
        <v>88</v>
      </c>
      <c r="H35" s="22" t="s"/>
      <c r="I35" s="9" t="s">
        <v>89</v>
      </c>
      <c r="J35" s="9" t="s">
        <v>71</v>
      </c>
      <c r="K35" s="22" t="s">
        <v>90</v>
      </c>
      <c r="L35" s="9" t="s">
        <v>72</v>
      </c>
      <c r="M35" s="10">
        <f>=IF($D35=配置调整!$A$5,VLOOKUP($K35,配置调整!$B$4:$O$29,6,0)*配置调整!$A$6,IF($D35=配置调整!$A$8,VLOOKUP($K35,配置调整!$B$4:$O$29,6,0)*配置调整!$A$9,IF($D35=配置调整!$A$11,VLOOKUP($K35,配置调整!$B$4:$O$29,6,0)*配置调整!$A$12,FALSE)))</f>
        <v>159929564.263821</v>
      </c>
      <c r="N35" s="10">
        <f>=M35</f>
        <v>159929564.263821</v>
      </c>
      <c r="O35" s="9">
        <v>0</v>
      </c>
      <c r="P35" s="11">
        <f>=M35</f>
        <v>159929564.263821</v>
      </c>
      <c r="Q35" s="10">
        <f>=M35</f>
        <v>159929564.263821</v>
      </c>
      <c r="R35" s="10">
        <f>=M35</f>
        <v>159929564.263821</v>
      </c>
      <c r="S35" s="10">
        <v>0</v>
      </c>
      <c r="T35" s="12">
        <v>1</v>
      </c>
      <c r="U35" s="4">
        <f>=IF(OR(L35="标准固收类",L35="非标固收类"),$A$2,"")</f>
        <v>45657</v>
      </c>
      <c r="V35" s="4">
        <f>=IF(OR(L35="标准固收类",L35="非标固收类"),EOMONTH($A$2,12),"")</f>
        <v>46022</v>
      </c>
      <c r="W35" s="4">
        <f>=IF(OR(L35="标准固收类",L35="非标固收类"),EOMONTH($A$2,A35*12),"")</f>
        <v>47483</v>
      </c>
      <c r="X35" s="9" t="s">
        <v>73</v>
      </c>
      <c r="Y35" s="13">
        <f>=VLOOKUP(资产明细!K35,配置调整!$B$4:$C$29,2,0)</f>
        <v>0.018727</v>
      </c>
      <c r="Z35" s="9" t="s">
        <v>74</v>
      </c>
      <c r="AA35" s="22" t="s">
        <v>91</v>
      </c>
      <c r="AB35" s="22" t="s"/>
      <c r="AC35" s="22" t="s"/>
      <c r="AD35" s="10">
        <f>=P35</f>
        <v>159929564.263821</v>
      </c>
      <c r="AE35" s="23" t="s"/>
      <c r="AF35" s="23" t="s"/>
      <c r="AG35" s="23" t="s"/>
      <c r="AH35" s="23" t="s"/>
      <c r="AI35" s="14" t="s"/>
      <c r="AJ35" s="14" t="s"/>
      <c r="AK35" s="14" t="s"/>
      <c r="AL35" s="14" t="s"/>
      <c r="AM35" s="13">
        <f>=IF(OR(L35="标准固收类",L35="非标固收类"),Y35,"")</f>
        <v>0.018727</v>
      </c>
      <c r="AN35" s="18" t="s"/>
      <c r="AO35" s="17" t="s"/>
      <c r="AP35" s="17" t="s"/>
      <c r="AQ35" s="17" t="s"/>
      <c r="AR35" s="17" t="s"/>
      <c r="AS35" s="17" t="s"/>
      <c r="AT35" s="17" t="s"/>
      <c r="AU35" s="17" t="s"/>
      <c r="AV35" s="18" t="s"/>
      <c r="AW35" s="18" t="s"/>
      <c r="AX35" s="18" t="s"/>
      <c r="AY35" s="18" t="s"/>
      <c r="AZ35" s="18" t="s"/>
      <c r="BA35" s="14" t="s"/>
      <c r="BB35" s="17" t="s"/>
      <c r="BC35" s="17" t="s"/>
      <c r="BD35" s="17" t="s"/>
      <c r="BE35" s="17" t="s"/>
      <c r="BF35" s="15">
        <f>=AM35</f>
        <v>0.018727</v>
      </c>
      <c r="BG35" s="13" t="s">
        <f>=IF(OR(L35="标准固收类",L35="非标固收类"),"",MIN(Y35,2%))</f>
      </c>
      <c r="BH35" s="19">
        <v>0</v>
      </c>
      <c r="BI35" s="20">
        <v>0.85</v>
      </c>
      <c r="BJ35" s="20" t="s"/>
      <c r="BK35" s="20" t="s"/>
      <c r="BL35" s="20" t="s"/>
      <c r="BM35" s="20" t="s"/>
      <c r="BN35" s="21" t="s"/>
    </row>
    <row r="36" spans="1:66">
      <c r="A36" s="9">
        <v>10</v>
      </c>
      <c r="B36" s="9" t="s">
        <v>157</v>
      </c>
      <c r="C36" s="22" t="s">
        <v>92</v>
      </c>
      <c r="D36" s="9" t="s">
        <v>150</v>
      </c>
      <c r="E36" s="9" t="s">
        <v>68</v>
      </c>
      <c r="F36" s="22" t="s">
        <v>84</v>
      </c>
      <c r="G36" s="9" t="s">
        <v>92</v>
      </c>
      <c r="H36" s="22" t="s"/>
      <c r="I36" s="9" t="s">
        <v>93</v>
      </c>
      <c r="J36" s="9" t="s">
        <v>71</v>
      </c>
      <c r="K36" s="22" t="s">
        <v>94</v>
      </c>
      <c r="L36" s="9" t="s">
        <v>72</v>
      </c>
      <c r="M36" s="10">
        <f>=IF($D36=配置调整!$A$5,VLOOKUP($K36,配置调整!$B$4:$O$29,6,0)*配置调整!$A$6,IF($D36=配置调整!$A$8,VLOOKUP($K36,配置调整!$B$4:$O$29,6,0)*配置调整!$A$9,IF($D36=配置调整!$A$11,VLOOKUP($K36,配置调整!$B$4:$O$29,6,0)*配置调整!$A$12,FALSE)))</f>
        <v>1046949778.91308</v>
      </c>
      <c r="N36" s="10">
        <f>=M36</f>
        <v>1046949778.91308</v>
      </c>
      <c r="O36" s="9">
        <v>0</v>
      </c>
      <c r="P36" s="11">
        <f>=M36</f>
        <v>1046949778.91308</v>
      </c>
      <c r="Q36" s="10">
        <f>=M36</f>
        <v>1046949778.91308</v>
      </c>
      <c r="R36" s="10">
        <f>=M36</f>
        <v>1046949778.91308</v>
      </c>
      <c r="S36" s="10">
        <v>0</v>
      </c>
      <c r="T36" s="12">
        <v>1</v>
      </c>
      <c r="U36" s="4">
        <f>=IF(OR(L36="标准固收类",L36="非标固收类"),$A$2,"")</f>
        <v>45657</v>
      </c>
      <c r="V36" s="4">
        <f>=IF(OR(L36="标准固收类",L36="非标固收类"),EOMONTH($A$2,12),"")</f>
        <v>46022</v>
      </c>
      <c r="W36" s="4">
        <f>=IF(OR(L36="标准固收类",L36="非标固收类"),EOMONTH($A$2,A36*12),"")</f>
        <v>49309</v>
      </c>
      <c r="X36" s="9" t="s">
        <v>73</v>
      </c>
      <c r="Y36" s="13">
        <f>=VLOOKUP(资产明细!K36,配置调整!$B$4:$C$29,2,0)</f>
        <v>0.021173</v>
      </c>
      <c r="Z36" s="9" t="s">
        <v>74</v>
      </c>
      <c r="AA36" s="22" t="s">
        <v>91</v>
      </c>
      <c r="AB36" s="22" t="s"/>
      <c r="AC36" s="22" t="s"/>
      <c r="AD36" s="10">
        <f>=P36</f>
        <v>1046949778.91308</v>
      </c>
      <c r="AE36" s="23" t="s"/>
      <c r="AF36" s="23" t="s"/>
      <c r="AG36" s="23" t="s"/>
      <c r="AH36" s="23" t="s"/>
      <c r="AI36" s="14" t="s"/>
      <c r="AJ36" s="14" t="s"/>
      <c r="AK36" s="14" t="s"/>
      <c r="AL36" s="14" t="s"/>
      <c r="AM36" s="13">
        <f>=IF(OR(L36="标准固收类",L36="非标固收类"),Y36,"")</f>
        <v>0.021173</v>
      </c>
      <c r="AN36" s="18" t="s"/>
      <c r="AO36" s="17" t="s"/>
      <c r="AP36" s="17" t="s"/>
      <c r="AQ36" s="17" t="s"/>
      <c r="AR36" s="17" t="s"/>
      <c r="AS36" s="17" t="s"/>
      <c r="AT36" s="17" t="s"/>
      <c r="AU36" s="17" t="s"/>
      <c r="AV36" s="18" t="s"/>
      <c r="AW36" s="18" t="s"/>
      <c r="AX36" s="18" t="s"/>
      <c r="AY36" s="18" t="s"/>
      <c r="AZ36" s="18" t="s"/>
      <c r="BA36" s="14" t="s"/>
      <c r="BB36" s="17" t="s"/>
      <c r="BC36" s="17" t="s"/>
      <c r="BD36" s="17" t="s"/>
      <c r="BE36" s="17" t="s"/>
      <c r="BF36" s="15">
        <f>=AM36</f>
        <v>0.021173</v>
      </c>
      <c r="BG36" s="13" t="s">
        <f>=IF(OR(L36="标准固收类",L36="非标固收类"),"",MIN(Y36,2%))</f>
      </c>
      <c r="BH36" s="19">
        <v>0</v>
      </c>
      <c r="BI36" s="20">
        <v>0.85</v>
      </c>
      <c r="BJ36" s="20" t="s"/>
      <c r="BK36" s="20" t="s"/>
      <c r="BL36" s="20" t="s"/>
      <c r="BM36" s="20" t="s"/>
      <c r="BN36" s="21" t="s"/>
    </row>
    <row r="37" spans="1:66">
      <c r="A37" s="9">
        <v>3</v>
      </c>
      <c r="B37" s="9" t="s">
        <v>158</v>
      </c>
      <c r="C37" s="22" t="s">
        <v>95</v>
      </c>
      <c r="D37" s="9" t="s">
        <v>150</v>
      </c>
      <c r="E37" s="9" t="s">
        <v>68</v>
      </c>
      <c r="F37" s="22" t="s">
        <v>96</v>
      </c>
      <c r="G37" s="9" t="s">
        <v>95</v>
      </c>
      <c r="H37" s="22" t="s"/>
      <c r="I37" s="9" t="s">
        <v>97</v>
      </c>
      <c r="J37" s="9" t="s">
        <v>71</v>
      </c>
      <c r="K37" s="22" t="s">
        <v>95</v>
      </c>
      <c r="L37" s="22" t="s">
        <v>98</v>
      </c>
      <c r="M37" s="10">
        <f>=IF($D37=配置调整!$A$5,VLOOKUP($K37,配置调整!$B$4:$O$29,6,0)*配置调整!$A$6,IF($D37=配置调整!$A$8,VLOOKUP($K37,配置调整!$B$4:$O$29,6,0)*配置调整!$A$9,IF($D37=配置调整!$A$11,VLOOKUP($K37,配置调整!$B$4:$O$29,6,0)*配置调整!$A$12,FALSE)))</f>
        <v>767567316.604065</v>
      </c>
      <c r="N37" s="10">
        <f>=M37</f>
        <v>767567316.604065</v>
      </c>
      <c r="O37" s="9">
        <v>0</v>
      </c>
      <c r="P37" s="11">
        <f>=M37</f>
        <v>767567316.604065</v>
      </c>
      <c r="Q37" s="10">
        <f>=M37</f>
        <v>767567316.604065</v>
      </c>
      <c r="R37" s="10">
        <f>=M37</f>
        <v>767567316.604065</v>
      </c>
      <c r="S37" s="10">
        <v>0</v>
      </c>
      <c r="T37" s="12">
        <v>1</v>
      </c>
      <c r="U37" s="4">
        <f>=IF(OR(L37="标准固收类",L37="非标固收类"),$A$2,"")</f>
        <v>45657</v>
      </c>
      <c r="V37" s="4">
        <f>=IF(OR(L37="标准固收类",L37="非标固收类"),EOMONTH($A$2,12),"")</f>
        <v>46022</v>
      </c>
      <c r="W37" s="4">
        <f>=IF(OR(L37="标准固收类",L37="非标固收类"),EOMONTH($A$2,A37*12),"")</f>
        <v>46752</v>
      </c>
      <c r="X37" s="9" t="s">
        <v>73</v>
      </c>
      <c r="Y37" s="13">
        <f>=VLOOKUP(资产明细!K37,配置调整!$B$4:$C$29,2,0)</f>
        <v>0.0242903222785211</v>
      </c>
      <c r="Z37" s="9" t="s">
        <v>74</v>
      </c>
      <c r="AA37" s="22" t="s">
        <v>91</v>
      </c>
      <c r="AB37" s="22" t="s">
        <v>99</v>
      </c>
      <c r="AC37" s="22" t="s"/>
      <c r="AD37" s="10">
        <f>=P37</f>
        <v>767567316.604065</v>
      </c>
      <c r="AE37" s="23" t="s"/>
      <c r="AF37" s="23" t="s"/>
      <c r="AG37" s="23" t="s"/>
      <c r="AH37" s="23" t="s"/>
      <c r="AI37" s="14" t="s"/>
      <c r="AJ37" s="14" t="s"/>
      <c r="AK37" s="14" t="s"/>
      <c r="AL37" s="14" t="s"/>
      <c r="AM37" s="13">
        <f>=IF(OR(L37="标准固收类",L37="非标固收类"),Y37,"")</f>
        <v>0.0242903222785211</v>
      </c>
      <c r="AN37" s="15" t="s"/>
      <c r="AO37" s="16" t="s"/>
      <c r="AP37" s="17" t="s"/>
      <c r="AQ37" s="17" t="s"/>
      <c r="AR37" s="17" t="s"/>
      <c r="AS37" s="17" t="s"/>
      <c r="AT37" s="17" t="s"/>
      <c r="AU37" s="17" t="s"/>
      <c r="AV37" s="18" t="s"/>
      <c r="AW37" s="18" t="s"/>
      <c r="AX37" s="18" t="s"/>
      <c r="AY37" s="18" t="s"/>
      <c r="AZ37" s="18" t="s"/>
      <c r="BA37" s="14" t="s"/>
      <c r="BB37" s="17" t="s"/>
      <c r="BC37" s="17" t="s"/>
      <c r="BD37" s="17" t="s"/>
      <c r="BE37" s="17" t="s"/>
      <c r="BF37" s="15">
        <f>=AM37</f>
        <v>0.0242903222785211</v>
      </c>
      <c r="BG37" s="13" t="s">
        <f>=IF(OR(L37="标准固收类",L37="非标固收类"),"",MIN(Y37,2%))</f>
      </c>
      <c r="BH37" s="19">
        <v>0</v>
      </c>
      <c r="BI37" s="20">
        <v>0.85</v>
      </c>
      <c r="BJ37" s="20" t="s"/>
      <c r="BK37" s="20" t="s"/>
      <c r="BL37" s="20" t="s"/>
      <c r="BM37" s="20" t="s"/>
      <c r="BN37" s="21" t="s"/>
    </row>
    <row r="38" spans="1:66">
      <c r="A38" s="9">
        <v>5</v>
      </c>
      <c r="B38" s="9" t="s">
        <v>159</v>
      </c>
      <c r="C38" s="22" t="s">
        <v>100</v>
      </c>
      <c r="D38" s="9" t="s">
        <v>150</v>
      </c>
      <c r="E38" s="9" t="s">
        <v>68</v>
      </c>
      <c r="F38" s="22" t="s">
        <v>96</v>
      </c>
      <c r="G38" s="9" t="s">
        <v>100</v>
      </c>
      <c r="H38" s="22" t="s"/>
      <c r="I38" s="9" t="s">
        <v>101</v>
      </c>
      <c r="J38" s="9" t="s">
        <v>71</v>
      </c>
      <c r="K38" s="22" t="s">
        <v>100</v>
      </c>
      <c r="L38" s="22" t="s">
        <v>98</v>
      </c>
      <c r="M38" s="10">
        <f>=IF($D38=配置调整!$A$5,VLOOKUP($K38,配置调整!$B$4:$O$29,6,0)*配置调整!$A$6,IF($D38=配置调整!$A$8,VLOOKUP($K38,配置调整!$B$4:$O$29,6,0)*配置调整!$A$9,IF($D38=配置调整!$A$11,VLOOKUP($K38,配置调整!$B$4:$O$29,6,0)*配置调整!$A$12,FALSE)))</f>
        <v>502980861.918676</v>
      </c>
      <c r="N38" s="10">
        <f>=M38</f>
        <v>502980861.918676</v>
      </c>
      <c r="O38" s="9">
        <v>0</v>
      </c>
      <c r="P38" s="11">
        <f>=M38</f>
        <v>502980861.918676</v>
      </c>
      <c r="Q38" s="10">
        <f>=M38</f>
        <v>502980861.918676</v>
      </c>
      <c r="R38" s="10">
        <f>=M38</f>
        <v>502980861.918676</v>
      </c>
      <c r="S38" s="10">
        <v>0</v>
      </c>
      <c r="T38" s="12">
        <v>1</v>
      </c>
      <c r="U38" s="4">
        <f>=IF(OR(L38="标准固收类",L38="非标固收类"),$A$2,"")</f>
        <v>45657</v>
      </c>
      <c r="V38" s="4">
        <f>=IF(OR(L38="标准固收类",L38="非标固收类"),EOMONTH($A$2,12),"")</f>
        <v>46022</v>
      </c>
      <c r="W38" s="4">
        <f>=IF(OR(L38="标准固收类",L38="非标固收类"),EOMONTH($A$2,A38*12),"")</f>
        <v>47483</v>
      </c>
      <c r="X38" s="9" t="s">
        <v>73</v>
      </c>
      <c r="Y38" s="13">
        <f>=VLOOKUP(资产明细!K38,配置调整!$B$4:$C$29,2,0)</f>
        <v>0.0256290353580812</v>
      </c>
      <c r="Z38" s="9" t="s">
        <v>74</v>
      </c>
      <c r="AA38" s="22" t="s">
        <v>91</v>
      </c>
      <c r="AB38" s="22" t="s">
        <v>102</v>
      </c>
      <c r="AC38" s="22" t="s"/>
      <c r="AD38" s="10">
        <f>=P38</f>
        <v>502980861.918676</v>
      </c>
      <c r="AE38" s="23" t="s"/>
      <c r="AF38" s="23" t="s"/>
      <c r="AG38" s="23" t="s"/>
      <c r="AH38" s="23" t="s"/>
      <c r="AI38" s="14" t="s"/>
      <c r="AJ38" s="14" t="s"/>
      <c r="AK38" s="14" t="s"/>
      <c r="AL38" s="14" t="s"/>
      <c r="AM38" s="13">
        <f>=IF(OR(L38="标准固收类",L38="非标固收类"),Y38,"")</f>
        <v>0.0256290353580812</v>
      </c>
      <c r="AN38" s="18" t="s"/>
      <c r="AO38" s="17" t="s"/>
      <c r="AP38" s="17" t="s"/>
      <c r="AQ38" s="17" t="s"/>
      <c r="AR38" s="17" t="s"/>
      <c r="AS38" s="17" t="s"/>
      <c r="AT38" s="17" t="s"/>
      <c r="AU38" s="17" t="s"/>
      <c r="AV38" s="18" t="s"/>
      <c r="AW38" s="18" t="s"/>
      <c r="AX38" s="18" t="s"/>
      <c r="AY38" s="18" t="s"/>
      <c r="AZ38" s="18" t="s"/>
      <c r="BA38" s="14" t="s"/>
      <c r="BB38" s="17" t="s"/>
      <c r="BC38" s="17" t="s"/>
      <c r="BD38" s="17" t="s"/>
      <c r="BE38" s="17" t="s"/>
      <c r="BF38" s="15">
        <f>=AM38</f>
        <v>0.0256290353580812</v>
      </c>
      <c r="BG38" s="13" t="s">
        <f>=IF(OR(L38="标准固收类",L38="非标固收类"),"",MIN(Y38,2%))</f>
      </c>
      <c r="BH38" s="19">
        <v>0</v>
      </c>
      <c r="BI38" s="20">
        <v>0.85</v>
      </c>
      <c r="BJ38" s="20" t="s"/>
      <c r="BK38" s="20" t="s"/>
      <c r="BL38" s="20" t="s"/>
      <c r="BM38" s="20" t="s"/>
      <c r="BN38" s="21" t="s"/>
    </row>
    <row r="39" spans="2:66">
      <c r="B39" s="9" t="s">
        <v>160</v>
      </c>
      <c r="C39" s="22" t="s">
        <v>103</v>
      </c>
      <c r="D39" s="9" t="s">
        <v>150</v>
      </c>
      <c r="E39" s="22" t="s">
        <v>104</v>
      </c>
      <c r="F39" s="22" t="s">
        <v>105</v>
      </c>
      <c r="G39" s="9" t="s">
        <v>103</v>
      </c>
      <c r="H39" s="22" t="s"/>
      <c r="I39" s="9" t="s">
        <v>106</v>
      </c>
      <c r="J39" s="9" t="s">
        <v>71</v>
      </c>
      <c r="K39" s="22" t="s">
        <v>103</v>
      </c>
      <c r="L39" s="22" t="s">
        <v>104</v>
      </c>
      <c r="M39" s="10">
        <f>=IF($D39=配置调整!$A$5,VLOOKUP($K39,配置调整!$B$4:$O$29,6,0)*配置调整!$A$6,IF($D39=配置调整!$A$8,VLOOKUP($K39,配置调整!$B$4:$O$29,6,0)*配置调整!$A$9,IF($D39=配置调整!$A$11,VLOOKUP($K39,配置调整!$B$4:$O$29,6,0)*配置调整!$A$12,FALSE)))</f>
        <v>267518.4312424</v>
      </c>
      <c r="N39" s="10">
        <f>=M39</f>
        <v>267518.4312424</v>
      </c>
      <c r="O39" s="9">
        <v>0</v>
      </c>
      <c r="P39" s="11">
        <f>=M39</f>
        <v>267518.4312424</v>
      </c>
      <c r="Q39" s="10">
        <f>=M39</f>
        <v>267518.4312424</v>
      </c>
      <c r="R39" s="10">
        <f>=M39</f>
        <v>267518.4312424</v>
      </c>
      <c r="S39" s="10">
        <v>0</v>
      </c>
      <c r="T39" s="22" t="s"/>
      <c r="U39" s="4" t="s">
        <f>=IF(OR(L39="标准固收类",L39="非标固收类"),$A$2,"")</f>
      </c>
      <c r="V39" s="4" t="s">
        <f>=IF(OR(L39="标准固收类",L39="非标固收类"),EOMONTH($A$2,12),"")</f>
      </c>
      <c r="W39" s="4" t="s">
        <f>=IF(OR(L39="标准固收类",L39="非标固收类"),EOMONTH($A$2,A39*12),"")</f>
      </c>
      <c r="X39" s="22" t="s"/>
      <c r="Y39" s="13">
        <f>=VLOOKUP(资产明细!K39,配置调整!$B$4:$C$29,2,0)</f>
        <v>0.06</v>
      </c>
      <c r="Z39" s="9" t="s">
        <v>74</v>
      </c>
      <c r="AA39" s="22" t="s"/>
      <c r="AB39" s="22" t="s"/>
      <c r="AC39" s="22" t="s">
        <v>107</v>
      </c>
      <c r="AD39" s="10">
        <f>=P39</f>
        <v>267518.4312424</v>
      </c>
      <c r="AE39" s="23" t="s"/>
      <c r="AF39" s="23" t="s"/>
      <c r="AG39" s="23" t="s"/>
      <c r="AH39" s="23" t="s"/>
      <c r="AI39" s="14" t="s"/>
      <c r="AJ39" s="14" t="s"/>
      <c r="AK39" s="14" t="s"/>
      <c r="AL39" s="14" t="s"/>
      <c r="AM39" s="13" t="s">
        <f>=IF(OR(L39="标准固收类",L39="非标固收类"),Y39,"")</f>
      </c>
      <c r="AN39" s="15" t="s"/>
      <c r="AO39" s="16" t="s"/>
      <c r="AP39" s="17" t="s"/>
      <c r="AQ39" s="17" t="s"/>
      <c r="AR39" s="17" t="s"/>
      <c r="AS39" s="17" t="s"/>
      <c r="AT39" s="17" t="s"/>
      <c r="AU39" s="17" t="s"/>
      <c r="AV39" s="18" t="s"/>
      <c r="AW39" s="18" t="s"/>
      <c r="AX39" s="18" t="s"/>
      <c r="AY39" s="18" t="s"/>
      <c r="AZ39" s="18" t="s"/>
      <c r="BA39" s="14" t="s"/>
      <c r="BB39" s="17" t="s"/>
      <c r="BC39" s="17" t="s"/>
      <c r="BD39" s="17" t="s"/>
      <c r="BE39" s="17" t="s"/>
      <c r="BF39" s="15" t="s">
        <f>=AM39</f>
      </c>
      <c r="BG39" s="13">
        <f>=IF(OR(L39="标准固收类",L39="非标固收类"),"",MIN(Y39,2%))</f>
        <v>0.02</v>
      </c>
      <c r="BH39" s="19">
        <v>0</v>
      </c>
      <c r="BI39" s="20">
        <v>0.85</v>
      </c>
      <c r="BJ39" s="20" t="s"/>
      <c r="BK39" s="20" t="s"/>
      <c r="BL39" s="20" t="s"/>
      <c r="BM39" s="20" t="s"/>
      <c r="BN39" s="21" t="s"/>
    </row>
    <row r="40" spans="2:66">
      <c r="B40" s="9" t="s">
        <v>161</v>
      </c>
      <c r="C40" s="22" t="s">
        <v>108</v>
      </c>
      <c r="D40" s="9" t="s">
        <v>150</v>
      </c>
      <c r="E40" s="22" t="s">
        <v>104</v>
      </c>
      <c r="F40" s="22" t="s">
        <v>105</v>
      </c>
      <c r="G40" s="9" t="s">
        <v>108</v>
      </c>
      <c r="H40" s="22" t="s"/>
      <c r="I40" s="9" t="s">
        <v>109</v>
      </c>
      <c r="J40" s="9" t="s">
        <v>71</v>
      </c>
      <c r="K40" s="22" t="s">
        <v>108</v>
      </c>
      <c r="L40" s="22" t="s">
        <v>104</v>
      </c>
      <c r="M40" s="10">
        <f>=IF($D40=配置调整!$A$5,VLOOKUP($K40,配置调整!$B$4:$O$29,6,0)*配置调整!$A$6,IF($D40=配置调整!$A$8,VLOOKUP($K40,配置调整!$B$4:$O$29,6,0)*配置调整!$A$9,IF($D40=配置调整!$A$11,VLOOKUP($K40,配置调整!$B$4:$O$29,6,0)*配置调整!$A$12,FALSE)))</f>
        <v>90343544.8844248</v>
      </c>
      <c r="N40" s="10">
        <f>=M40</f>
        <v>90343544.8844248</v>
      </c>
      <c r="O40" s="9">
        <v>0</v>
      </c>
      <c r="P40" s="11">
        <f>=M40</f>
        <v>90343544.8844248</v>
      </c>
      <c r="Q40" s="10">
        <f>=M40</f>
        <v>90343544.8844248</v>
      </c>
      <c r="R40" s="10">
        <f>=M40</f>
        <v>90343544.8844248</v>
      </c>
      <c r="S40" s="10">
        <v>0</v>
      </c>
      <c r="T40" s="22" t="s"/>
      <c r="U40" s="4" t="s">
        <f>=IF(OR(L40="标准固收类",L40="非标固收类"),$A$2,"")</f>
      </c>
      <c r="V40" s="4" t="s">
        <f>=IF(OR(L40="标准固收类",L40="非标固收类"),EOMONTH($A$2,12),"")</f>
      </c>
      <c r="W40" s="4" t="s">
        <f>=IF(OR(L40="标准固收类",L40="非标固收类"),EOMONTH($A$2,A40*12),"")</f>
      </c>
      <c r="X40" s="22" t="s"/>
      <c r="Y40" s="13">
        <f>=VLOOKUP(资产明细!K40,配置调整!$B$4:$C$29,2,0)</f>
        <v>0.07</v>
      </c>
      <c r="Z40" s="9" t="s">
        <v>74</v>
      </c>
      <c r="AA40" s="22" t="s"/>
      <c r="AB40" s="22" t="s"/>
      <c r="AC40" s="22" t="s">
        <v>110</v>
      </c>
      <c r="AD40" s="10">
        <f>=P40</f>
        <v>90343544.8844248</v>
      </c>
      <c r="AE40" s="23" t="s"/>
      <c r="AF40" s="23" t="s"/>
      <c r="AG40" s="23" t="s"/>
      <c r="AH40" s="23" t="s"/>
      <c r="AI40" s="14" t="s"/>
      <c r="AJ40" s="14" t="s"/>
      <c r="AK40" s="14" t="s"/>
      <c r="AL40" s="14" t="s"/>
      <c r="AM40" s="13" t="s">
        <f>=IF(OR(L40="标准固收类",L40="非标固收类"),Y40,"")</f>
      </c>
      <c r="AN40" s="18" t="s"/>
      <c r="AO40" s="17" t="s"/>
      <c r="AP40" s="17" t="s"/>
      <c r="AQ40" s="17" t="s"/>
      <c r="AR40" s="17" t="s"/>
      <c r="AS40" s="17" t="s"/>
      <c r="AT40" s="17" t="s"/>
      <c r="AU40" s="17" t="s"/>
      <c r="AV40" s="18" t="s"/>
      <c r="AW40" s="18" t="s"/>
      <c r="AX40" s="18" t="s"/>
      <c r="AY40" s="18" t="s"/>
      <c r="AZ40" s="18" t="s"/>
      <c r="BA40" s="14" t="s"/>
      <c r="BB40" s="17" t="s"/>
      <c r="BC40" s="17" t="s"/>
      <c r="BD40" s="17" t="s"/>
      <c r="BE40" s="17" t="s"/>
      <c r="BF40" s="15" t="s">
        <f>=AM40</f>
      </c>
      <c r="BG40" s="13">
        <f>=IF(OR(L40="标准固收类",L40="非标固收类"),"",MIN(Y40,2%))</f>
        <v>0.02</v>
      </c>
      <c r="BH40" s="19">
        <v>0</v>
      </c>
      <c r="BI40" s="20">
        <v>0.85</v>
      </c>
      <c r="BJ40" s="20" t="s"/>
      <c r="BK40" s="20" t="s"/>
      <c r="BL40" s="20" t="s"/>
      <c r="BM40" s="20" t="s"/>
      <c r="BN40" s="21" t="s"/>
    </row>
    <row r="41" spans="2:66">
      <c r="B41" s="9" t="s">
        <v>162</v>
      </c>
      <c r="C41" s="22" t="s">
        <v>111</v>
      </c>
      <c r="D41" s="9" t="s">
        <v>150</v>
      </c>
      <c r="E41" s="22" t="s">
        <v>104</v>
      </c>
      <c r="F41" s="22" t="s">
        <v>105</v>
      </c>
      <c r="G41" s="9" t="s">
        <v>111</v>
      </c>
      <c r="H41" s="22" t="s"/>
      <c r="I41" s="9" t="s">
        <v>112</v>
      </c>
      <c r="J41" s="9" t="s">
        <v>71</v>
      </c>
      <c r="K41" s="22" t="s">
        <v>111</v>
      </c>
      <c r="L41" s="22" t="s">
        <v>104</v>
      </c>
      <c r="M41" s="10">
        <f>=IF($D41=配置调整!$A$5,VLOOKUP($K41,配置调整!$B$4:$O$29,6,0)*配置调整!$A$6,IF($D41=配置调整!$A$8,VLOOKUP($K41,配置调整!$B$4:$O$29,6,0)*配置调整!$A$9,IF($D41=配置调整!$A$11,VLOOKUP($K41,配置调整!$B$4:$O$29,6,0)*配置调整!$A$12,FALSE)))</f>
        <v>127216359.472888</v>
      </c>
      <c r="N41" s="10">
        <f>=M41</f>
        <v>127216359.472888</v>
      </c>
      <c r="O41" s="9">
        <v>0</v>
      </c>
      <c r="P41" s="11">
        <f>=M41</f>
        <v>127216359.472888</v>
      </c>
      <c r="Q41" s="10">
        <f>=M41</f>
        <v>127216359.472888</v>
      </c>
      <c r="R41" s="10">
        <f>=M41</f>
        <v>127216359.472888</v>
      </c>
      <c r="S41" s="10">
        <v>0</v>
      </c>
      <c r="T41" s="22" t="s"/>
      <c r="U41" s="4" t="s">
        <f>=IF(OR(L41="标准固收类",L41="非标固收类"),$A$2,"")</f>
      </c>
      <c r="V41" s="4" t="s">
        <f>=IF(OR(L41="标准固收类",L41="非标固收类"),EOMONTH($A$2,12),"")</f>
      </c>
      <c r="W41" s="4" t="s">
        <f>=IF(OR(L41="标准固收类",L41="非标固收类"),EOMONTH($A$2,A41*12),"")</f>
      </c>
      <c r="X41" s="22" t="s"/>
      <c r="Y41" s="13">
        <f>=VLOOKUP(资产明细!K41,配置调整!$B$4:$C$29,2,0)</f>
        <v>0.08</v>
      </c>
      <c r="Z41" s="9" t="s">
        <v>74</v>
      </c>
      <c r="AA41" s="22" t="s"/>
      <c r="AB41" s="22" t="s"/>
      <c r="AC41" s="22" t="s">
        <v>113</v>
      </c>
      <c r="AD41" s="10">
        <f>=P41</f>
        <v>127216359.472888</v>
      </c>
      <c r="AE41" s="23" t="s"/>
      <c r="AF41" s="23" t="s"/>
      <c r="AG41" s="23" t="s"/>
      <c r="AH41" s="23" t="s"/>
      <c r="AI41" s="14" t="s"/>
      <c r="AJ41" s="14" t="s"/>
      <c r="AK41" s="14" t="s"/>
      <c r="AL41" s="14" t="s"/>
      <c r="AM41" s="13" t="s">
        <f>=IF(OR(L41="标准固收类",L41="非标固收类"),Y41,"")</f>
      </c>
      <c r="AN41" s="18" t="s"/>
      <c r="AO41" s="17" t="s"/>
      <c r="AP41" s="17" t="s"/>
      <c r="AQ41" s="17" t="s"/>
      <c r="AR41" s="17" t="s"/>
      <c r="AS41" s="17" t="s"/>
      <c r="AT41" s="17" t="s"/>
      <c r="AU41" s="17" t="s"/>
      <c r="AV41" s="18" t="s"/>
      <c r="AW41" s="18" t="s"/>
      <c r="AX41" s="18" t="s"/>
      <c r="AY41" s="18" t="s"/>
      <c r="AZ41" s="18" t="s"/>
      <c r="BA41" s="14" t="s"/>
      <c r="BB41" s="17" t="s"/>
      <c r="BC41" s="17" t="s"/>
      <c r="BD41" s="17" t="s"/>
      <c r="BE41" s="17" t="s"/>
      <c r="BF41" s="15" t="s">
        <f>=AM41</f>
      </c>
      <c r="BG41" s="13">
        <f>=IF(OR(L41="标准固收类",L41="非标固收类"),"",MIN(Y41,2%))</f>
        <v>0.02</v>
      </c>
      <c r="BH41" s="19">
        <v>0</v>
      </c>
      <c r="BI41" s="20">
        <v>0.85</v>
      </c>
      <c r="BJ41" s="20" t="s"/>
      <c r="BK41" s="20" t="s"/>
      <c r="BL41" s="20" t="s"/>
      <c r="BM41" s="20" t="s"/>
      <c r="BN41" s="21" t="s"/>
    </row>
    <row r="42" spans="2:66">
      <c r="B42" s="9" t="s">
        <v>163</v>
      </c>
      <c r="C42" s="22" t="s">
        <v>114</v>
      </c>
      <c r="D42" s="9" t="s">
        <v>150</v>
      </c>
      <c r="E42" s="22" t="s">
        <v>104</v>
      </c>
      <c r="F42" s="22" t="s">
        <v>105</v>
      </c>
      <c r="G42" s="9" t="s">
        <v>114</v>
      </c>
      <c r="H42" s="22" t="s"/>
      <c r="I42" s="9" t="s">
        <v>115</v>
      </c>
      <c r="J42" s="9" t="s">
        <v>71</v>
      </c>
      <c r="K42" s="22" t="s">
        <v>114</v>
      </c>
      <c r="L42" s="22" t="s">
        <v>104</v>
      </c>
      <c r="M42" s="10">
        <f>=IF($D42=配置调整!$A$5,VLOOKUP($K42,配置调整!$B$4:$O$29,6,0)*配置调整!$A$6,IF($D42=配置调整!$A$8,VLOOKUP($K42,配置调整!$B$4:$O$29,6,0)*配置调整!$A$9,IF($D42=配置调整!$A$11,VLOOKUP($K42,配置调整!$B$4:$O$29,6,0)*配置调整!$A$12,FALSE)))</f>
        <v>678895237.760136</v>
      </c>
      <c r="N42" s="10">
        <f>=M42</f>
        <v>678895237.760136</v>
      </c>
      <c r="O42" s="9">
        <v>0</v>
      </c>
      <c r="P42" s="11">
        <f>=M42</f>
        <v>678895237.760136</v>
      </c>
      <c r="Q42" s="10">
        <f>=M42</f>
        <v>678895237.760136</v>
      </c>
      <c r="R42" s="10">
        <f>=M42</f>
        <v>678895237.760136</v>
      </c>
      <c r="S42" s="10">
        <v>0</v>
      </c>
      <c r="T42" s="22" t="s"/>
      <c r="U42" s="4" t="s">
        <f>=IF(OR(L42="标准固收类",L42="非标固收类"),$A$2,"")</f>
      </c>
      <c r="V42" s="4" t="s">
        <f>=IF(OR(L42="标准固收类",L42="非标固收类"),EOMONTH($A$2,12),"")</f>
      </c>
      <c r="W42" s="4" t="s">
        <f>=IF(OR(L42="标准固收类",L42="非标固收类"),EOMONTH($A$2,A42*12),"")</f>
      </c>
      <c r="X42" s="22" t="s"/>
      <c r="Y42" s="13">
        <f>=VLOOKUP(资产明细!K42,配置调整!$B$4:$C$29,2,0)</f>
        <v>0.085</v>
      </c>
      <c r="Z42" s="9" t="s">
        <v>74</v>
      </c>
      <c r="AA42" s="22" t="s"/>
      <c r="AB42" s="22" t="s"/>
      <c r="AC42" s="22" t="s">
        <v>116</v>
      </c>
      <c r="AD42" s="10">
        <f>=P42</f>
        <v>678895237.760136</v>
      </c>
      <c r="AE42" s="23" t="s"/>
      <c r="AF42" s="23" t="s"/>
      <c r="AG42" s="23" t="s"/>
      <c r="AH42" s="23" t="s"/>
      <c r="AI42" s="14" t="s"/>
      <c r="AJ42" s="14" t="s"/>
      <c r="AK42" s="14" t="s"/>
      <c r="AL42" s="14" t="s"/>
      <c r="AM42" s="13" t="s">
        <f>=IF(OR(L42="标准固收类",L42="非标固收类"),Y42,"")</f>
      </c>
      <c r="AN42" s="18" t="s"/>
      <c r="AO42" s="17" t="s"/>
      <c r="AP42" s="17" t="s"/>
      <c r="AQ42" s="17" t="s"/>
      <c r="AR42" s="17" t="s"/>
      <c r="AS42" s="17" t="s"/>
      <c r="AT42" s="17" t="s"/>
      <c r="AU42" s="17" t="s"/>
      <c r="AV42" s="18" t="s"/>
      <c r="AW42" s="18" t="s"/>
      <c r="AX42" s="18" t="s"/>
      <c r="AY42" s="18" t="s"/>
      <c r="AZ42" s="18" t="s"/>
      <c r="BA42" s="14" t="s"/>
      <c r="BB42" s="17" t="s"/>
      <c r="BC42" s="17" t="s"/>
      <c r="BD42" s="17" t="s"/>
      <c r="BE42" s="17" t="s"/>
      <c r="BF42" s="15" t="s">
        <f>=AM42</f>
      </c>
      <c r="BG42" s="13">
        <f>=IF(OR(L42="标准固收类",L42="非标固收类"),"",MIN(Y42,2%))</f>
        <v>0.02</v>
      </c>
      <c r="BH42" s="27">
        <v>0</v>
      </c>
      <c r="BI42" s="20">
        <v>0.85</v>
      </c>
      <c r="BJ42" s="20" t="s"/>
      <c r="BK42" s="20" t="s"/>
      <c r="BL42" s="20" t="s"/>
      <c r="BM42" s="20" t="s"/>
      <c r="BN42" s="21" t="s"/>
    </row>
    <row r="43" spans="2:66">
      <c r="B43" s="9" t="s">
        <v>164</v>
      </c>
      <c r="C43" s="22" t="s">
        <v>117</v>
      </c>
      <c r="D43" s="9" t="s">
        <v>150</v>
      </c>
      <c r="E43" s="22" t="s">
        <v>104</v>
      </c>
      <c r="F43" s="22" t="s">
        <v>117</v>
      </c>
      <c r="G43" s="9" t="s">
        <v>117</v>
      </c>
      <c r="H43" s="22" t="s"/>
      <c r="I43" s="9" t="s">
        <v>118</v>
      </c>
      <c r="J43" s="9" t="s">
        <v>71</v>
      </c>
      <c r="K43" s="22" t="s">
        <v>117</v>
      </c>
      <c r="L43" s="22" t="s">
        <v>104</v>
      </c>
      <c r="M43" s="10">
        <f>=IF($D43=配置调整!$A$5,VLOOKUP($K43,配置调整!$B$4:$O$29,6,0)*配置调整!$A$6,IF($D43=配置调整!$A$8,VLOOKUP($K43,配置调整!$B$4:$O$29,6,0)*配置调整!$A$9,IF($D43=配置调整!$A$11,VLOOKUP($K43,配置调整!$B$4:$O$29,6,0)*配置调整!$A$12,FALSE)))</f>
        <v>267518.4312424</v>
      </c>
      <c r="N43" s="10">
        <f>=M43</f>
        <v>267518.4312424</v>
      </c>
      <c r="O43" s="9">
        <v>0</v>
      </c>
      <c r="P43" s="11">
        <f>=M43</f>
        <v>267518.4312424</v>
      </c>
      <c r="Q43" s="10">
        <f>=M43</f>
        <v>267518.4312424</v>
      </c>
      <c r="R43" s="10">
        <f>=M43</f>
        <v>267518.4312424</v>
      </c>
      <c r="S43" s="10">
        <v>0</v>
      </c>
      <c r="T43" s="22" t="s"/>
      <c r="U43" s="4" t="s">
        <f>=IF(OR(L43="标准固收类",L43="非标固收类"),$A$2,"")</f>
      </c>
      <c r="V43" s="4" t="s">
        <f>=IF(OR(L43="标准固收类",L43="非标固收类"),EOMONTH($A$2,12),"")</f>
      </c>
      <c r="W43" s="4" t="s">
        <f>=IF(OR(L43="标准固收类",L43="非标固收类"),EOMONTH($A$2,A43*12),"")</f>
      </c>
      <c r="X43" s="22" t="s"/>
      <c r="Y43" s="13">
        <f>=VLOOKUP(资产明细!K43,配置调整!$B$4:$C$29,2,0)</f>
        <v>0.0284872877927068</v>
      </c>
      <c r="Z43" s="9" t="s">
        <v>74</v>
      </c>
      <c r="AA43" s="22" t="s"/>
      <c r="AB43" s="22" t="s"/>
      <c r="AC43" s="22" t="s">
        <v>119</v>
      </c>
      <c r="AD43" s="10">
        <f>=P43</f>
        <v>267518.4312424</v>
      </c>
      <c r="AE43" s="23" t="s"/>
      <c r="AF43" s="23" t="s"/>
      <c r="AG43" s="23" t="s"/>
      <c r="AH43" s="23" t="s"/>
      <c r="AI43" s="14" t="s"/>
      <c r="AJ43" s="14" t="s"/>
      <c r="AK43" s="14" t="s"/>
      <c r="AL43" s="14" t="s"/>
      <c r="AM43" s="13" t="s">
        <f>=IF(OR(L43="标准固收类",L43="非标固收类"),Y43,"")</f>
      </c>
      <c r="AN43" s="18" t="s"/>
      <c r="AO43" s="17" t="s"/>
      <c r="AP43" s="17" t="s"/>
      <c r="AQ43" s="17" t="s"/>
      <c r="AR43" s="17" t="s"/>
      <c r="AS43" s="17" t="s"/>
      <c r="AT43" s="17" t="s"/>
      <c r="AU43" s="17" t="s"/>
      <c r="AV43" s="18" t="s"/>
      <c r="AW43" s="18" t="s"/>
      <c r="AX43" s="18" t="s"/>
      <c r="AY43" s="18" t="s"/>
      <c r="AZ43" s="18" t="s"/>
      <c r="BA43" s="14" t="s"/>
      <c r="BB43" s="17" t="s"/>
      <c r="BC43" s="17" t="s"/>
      <c r="BD43" s="17" t="s"/>
      <c r="BE43" s="17" t="s"/>
      <c r="BF43" s="15" t="s">
        <f>=AM43</f>
      </c>
      <c r="BG43" s="13">
        <f>=IF(OR(L43="标准固收类",L43="非标固收类"),"",MIN(Y43,2%))</f>
        <v>0.02</v>
      </c>
      <c r="BH43" s="27">
        <v>0</v>
      </c>
      <c r="BI43" s="20">
        <v>0.85</v>
      </c>
      <c r="BJ43" s="20" t="s"/>
      <c r="BK43" s="20" t="s"/>
      <c r="BL43" s="20" t="s"/>
      <c r="BM43" s="20" t="s"/>
      <c r="BN43" s="21" t="s"/>
    </row>
    <row r="44" spans="2:66">
      <c r="B44" s="9" t="s">
        <v>165</v>
      </c>
      <c r="C44" s="22" t="s">
        <v>120</v>
      </c>
      <c r="D44" s="9" t="s">
        <v>150</v>
      </c>
      <c r="E44" s="22" t="s">
        <v>104</v>
      </c>
      <c r="F44" s="22" t="s">
        <v>120</v>
      </c>
      <c r="G44" s="9" t="s">
        <v>120</v>
      </c>
      <c r="H44" s="22" t="s"/>
      <c r="I44" s="9" t="s">
        <v>121</v>
      </c>
      <c r="J44" s="9" t="s">
        <v>71</v>
      </c>
      <c r="K44" s="22" t="s">
        <v>120</v>
      </c>
      <c r="L44" s="22" t="s">
        <v>104</v>
      </c>
      <c r="M44" s="10">
        <f>=IF($D44=配置调整!$A$5,VLOOKUP($K44,配置调整!$B$4:$O$29,6,0)*配置调整!$A$6,IF($D44=配置调整!$A$8,VLOOKUP($K44,配置调整!$B$4:$O$29,6,0)*配置调整!$A$9,IF($D44=配置调整!$A$11,VLOOKUP($K44,配置调整!$B$4:$O$29,6,0)*配置调整!$A$12,FALSE)))</f>
        <v>267518.4312424</v>
      </c>
      <c r="N44" s="10">
        <f>=M44</f>
        <v>267518.4312424</v>
      </c>
      <c r="O44" s="9">
        <v>0</v>
      </c>
      <c r="P44" s="11">
        <f>=M44</f>
        <v>267518.4312424</v>
      </c>
      <c r="Q44" s="10">
        <f>=M44</f>
        <v>267518.4312424</v>
      </c>
      <c r="R44" s="10">
        <f>=M44</f>
        <v>267518.4312424</v>
      </c>
      <c r="S44" s="10">
        <v>0</v>
      </c>
      <c r="T44" s="22" t="s"/>
      <c r="U44" s="4" t="s">
        <f>=IF(OR(L44="标准固收类",L44="非标固收类"),$A$2,"")</f>
      </c>
      <c r="V44" s="4" t="s">
        <f>=IF(OR(L44="标准固收类",L44="非标固收类"),EOMONTH($A$2,12),"")</f>
      </c>
      <c r="W44" s="4" t="s">
        <f>=IF(OR(L44="标准固收类",L44="非标固收类"),EOMONTH($A$2,A44*12),"")</f>
      </c>
      <c r="X44" s="22" t="s"/>
      <c r="Y44" s="13">
        <f>=VLOOKUP(资产明细!K44,配置调整!$B$4:$C$29,2,0)</f>
        <v>0.015</v>
      </c>
      <c r="Z44" s="9" t="s">
        <v>74</v>
      </c>
      <c r="AA44" s="22" t="s"/>
      <c r="AB44" s="22" t="s"/>
      <c r="AC44" s="22" t="s">
        <v>122</v>
      </c>
      <c r="AD44" s="10">
        <f>=P44</f>
        <v>267518.4312424</v>
      </c>
      <c r="AE44" s="23" t="s"/>
      <c r="AF44" s="23" t="s"/>
      <c r="AG44" s="23" t="s"/>
      <c r="AH44" s="23" t="s"/>
      <c r="AI44" s="14" t="s"/>
      <c r="AJ44" s="14" t="s"/>
      <c r="AK44" s="14" t="s"/>
      <c r="AL44" s="14" t="s"/>
      <c r="AM44" s="13" t="s">
        <f>=IF(OR(L44="标准固收类",L44="非标固收类"),Y44,"")</f>
      </c>
      <c r="AN44" s="15" t="s"/>
      <c r="AO44" s="17" t="s"/>
      <c r="AP44" s="17" t="s"/>
      <c r="AQ44" s="17" t="s"/>
      <c r="AR44" s="17" t="s"/>
      <c r="AS44" s="17" t="s"/>
      <c r="AT44" s="17" t="s"/>
      <c r="AU44" s="17" t="s"/>
      <c r="AV44" s="18" t="s"/>
      <c r="AW44" s="18" t="s"/>
      <c r="AX44" s="18" t="s"/>
      <c r="AY44" s="18" t="s"/>
      <c r="AZ44" s="18" t="s"/>
      <c r="BA44" s="14" t="s"/>
      <c r="BB44" s="17" t="s"/>
      <c r="BC44" s="17" t="s"/>
      <c r="BD44" s="17" t="s"/>
      <c r="BE44" s="17" t="s"/>
      <c r="BF44" s="15" t="s">
        <f>=AM44</f>
      </c>
      <c r="BG44" s="13">
        <f>=IF(OR(L44="标准固收类",L44="非标固收类"),"",MIN(Y44,2%))</f>
        <v>0.015</v>
      </c>
      <c r="BH44" s="27">
        <v>0</v>
      </c>
      <c r="BI44" s="20">
        <v>0.85</v>
      </c>
      <c r="BJ44" s="20" t="s"/>
      <c r="BK44" s="20" t="s"/>
      <c r="BL44" s="20" t="s"/>
      <c r="BM44" s="20" t="s"/>
      <c r="BN44" s="21" t="s"/>
    </row>
    <row r="45" spans="2:66">
      <c r="B45" s="9" t="s">
        <v>166</v>
      </c>
      <c r="C45" s="22" t="s">
        <v>123</v>
      </c>
      <c r="D45" s="9" t="s">
        <v>150</v>
      </c>
      <c r="E45" s="22" t="s">
        <v>104</v>
      </c>
      <c r="F45" s="22" t="s">
        <v>123</v>
      </c>
      <c r="G45" s="9" t="s">
        <v>123</v>
      </c>
      <c r="H45" s="22" t="s"/>
      <c r="I45" s="9" t="s">
        <v>124</v>
      </c>
      <c r="J45" s="9" t="s">
        <v>71</v>
      </c>
      <c r="K45" s="22" t="s">
        <v>123</v>
      </c>
      <c r="L45" s="22" t="s">
        <v>104</v>
      </c>
      <c r="M45" s="10">
        <f>=IF($D45=配置调整!$A$5,VLOOKUP($K45,配置调整!$B$4:$O$29,6,0)*配置调整!$A$6,IF($D45=配置调整!$A$8,VLOOKUP($K45,配置调整!$B$4:$O$29,6,0)*配置调整!$A$9,IF($D45=配置调整!$A$11,VLOOKUP($K45,配置调整!$B$4:$O$29,6,0)*配置调整!$A$12,FALSE)))</f>
        <v>287615673.393965</v>
      </c>
      <c r="N45" s="10">
        <f>=M45</f>
        <v>287615673.393965</v>
      </c>
      <c r="O45" s="9">
        <v>0</v>
      </c>
      <c r="P45" s="11">
        <f>=M45</f>
        <v>287615673.393965</v>
      </c>
      <c r="Q45" s="10">
        <f>=M45</f>
        <v>287615673.393965</v>
      </c>
      <c r="R45" s="10">
        <f>=M45</f>
        <v>287615673.393965</v>
      </c>
      <c r="S45" s="10">
        <v>0</v>
      </c>
      <c r="T45" s="22" t="s"/>
      <c r="U45" s="4" t="s">
        <f>=IF(OR(L45="标准固收类",L45="非标固收类"),$A$2,"")</f>
      </c>
      <c r="V45" s="4" t="s">
        <f>=IF(OR(L45="标准固收类",L45="非标固收类"),EOMONTH($A$2,12),"")</f>
      </c>
      <c r="W45" s="4" t="s">
        <f>=IF(OR(L45="标准固收类",L45="非标固收类"),EOMONTH($A$2,A45*12),"")</f>
      </c>
      <c r="X45" s="22" t="s"/>
      <c r="Y45" s="13">
        <f>=VLOOKUP(资产明细!K45,配置调整!$B$4:$C$29,2,0)</f>
        <v>0.05</v>
      </c>
      <c r="Z45" s="9" t="s">
        <v>74</v>
      </c>
      <c r="AA45" s="22" t="s"/>
      <c r="AB45" s="22" t="s"/>
      <c r="AC45" s="22" t="s">
        <v>125</v>
      </c>
      <c r="AD45" s="10">
        <f>=P45</f>
        <v>287615673.393965</v>
      </c>
      <c r="AE45" s="23" t="s"/>
      <c r="AF45" s="23" t="s"/>
      <c r="AG45" s="23" t="s"/>
      <c r="AH45" s="23" t="s"/>
      <c r="AI45" s="14" t="s"/>
      <c r="AJ45" s="14" t="s"/>
      <c r="AK45" s="14" t="s"/>
      <c r="AL45" s="14" t="s"/>
      <c r="AM45" s="13" t="s">
        <f>=IF(OR(L45="标准固收类",L45="非标固收类"),Y45,"")</f>
      </c>
      <c r="AN45" s="18" t="s"/>
      <c r="AO45" s="17" t="s"/>
      <c r="AP45" s="17" t="s"/>
      <c r="AQ45" s="17" t="s"/>
      <c r="AR45" s="17" t="s"/>
      <c r="AS45" s="17" t="s"/>
      <c r="AT45" s="17" t="s"/>
      <c r="AU45" s="17" t="s"/>
      <c r="AV45" s="18" t="s"/>
      <c r="AW45" s="18" t="s"/>
      <c r="AX45" s="18" t="s"/>
      <c r="AY45" s="18" t="s"/>
      <c r="AZ45" s="18" t="s"/>
      <c r="BA45" s="14" t="s"/>
      <c r="BB45" s="17" t="s"/>
      <c r="BC45" s="17" t="s"/>
      <c r="BD45" s="17" t="s"/>
      <c r="BE45" s="17" t="s"/>
      <c r="BF45" s="15" t="s">
        <f>=AM45</f>
      </c>
      <c r="BG45" s="13">
        <f>=IF(OR(L45="标准固收类",L45="非标固收类"),"",MIN(Y45,2%))</f>
        <v>0.02</v>
      </c>
      <c r="BH45" s="27">
        <v>0</v>
      </c>
      <c r="BI45" s="20">
        <v>0.85</v>
      </c>
      <c r="BJ45" s="20" t="s"/>
      <c r="BK45" s="20" t="s"/>
      <c r="BL45" s="20" t="s"/>
      <c r="BM45" s="20" t="s"/>
      <c r="BN45" s="21" t="s"/>
    </row>
    <row r="46" spans="2:66">
      <c r="B46" s="9" t="s">
        <v>167</v>
      </c>
      <c r="C46" s="22" t="s">
        <v>126</v>
      </c>
      <c r="D46" s="9" t="s">
        <v>150</v>
      </c>
      <c r="E46" s="22" t="s">
        <v>104</v>
      </c>
      <c r="F46" s="22" t="s">
        <v>126</v>
      </c>
      <c r="G46" s="9" t="s">
        <v>126</v>
      </c>
      <c r="H46" s="22" t="s"/>
      <c r="I46" s="9" t="s">
        <v>127</v>
      </c>
      <c r="J46" s="9" t="s">
        <v>71</v>
      </c>
      <c r="K46" s="22" t="s">
        <v>126</v>
      </c>
      <c r="L46" s="22" t="s">
        <v>104</v>
      </c>
      <c r="M46" s="10">
        <f>=IF($D46=配置调整!$A$5,VLOOKUP($K46,配置调整!$B$4:$O$29,6,0)*配置调整!$A$6,IF($D46=配置调整!$A$8,VLOOKUP($K46,配置调整!$B$4:$O$29,6,0)*配置调整!$A$9,IF($D46=配置调整!$A$11,VLOOKUP($K46,配置调整!$B$4:$O$29,6,0)*配置调整!$A$12,FALSE)))</f>
        <v>267518.4312424</v>
      </c>
      <c r="N46" s="10">
        <f>=M46</f>
        <v>267518.4312424</v>
      </c>
      <c r="O46" s="9">
        <v>0</v>
      </c>
      <c r="P46" s="11">
        <f>=M46</f>
        <v>267518.4312424</v>
      </c>
      <c r="Q46" s="10">
        <f>=M46</f>
        <v>267518.4312424</v>
      </c>
      <c r="R46" s="10">
        <f>=M46</f>
        <v>267518.4312424</v>
      </c>
      <c r="S46" s="10">
        <v>0</v>
      </c>
      <c r="T46" s="22" t="s"/>
      <c r="U46" s="4" t="s">
        <f>=IF(OR(L46="标准固收类",L46="非标固收类"),$A$2,"")</f>
      </c>
      <c r="V46" s="4" t="s">
        <f>=IF(OR(L46="标准固收类",L46="非标固收类"),EOMONTH($A$2,12),"")</f>
      </c>
      <c r="W46" s="4" t="s">
        <f>=IF(OR(L46="标准固收类",L46="非标固收类"),EOMONTH($A$2,A46*12),"")</f>
      </c>
      <c r="X46" s="22" t="s"/>
      <c r="Y46" s="13">
        <f>=VLOOKUP(资产明细!K46,配置调整!$B$4:$C$29,2,0)</f>
        <v>0.055</v>
      </c>
      <c r="Z46" s="9" t="s">
        <v>74</v>
      </c>
      <c r="AA46" s="22" t="s"/>
      <c r="AB46" s="22" t="s"/>
      <c r="AC46" s="22" t="s">
        <v>128</v>
      </c>
      <c r="AD46" s="10">
        <f>=P46</f>
        <v>267518.4312424</v>
      </c>
      <c r="AE46" s="23" t="s"/>
      <c r="AF46" s="23" t="s"/>
      <c r="AG46" s="23" t="s"/>
      <c r="AH46" s="23" t="s"/>
      <c r="AI46" s="14" t="s"/>
      <c r="AJ46" s="14" t="s"/>
      <c r="AK46" s="14" t="s"/>
      <c r="AL46" s="14" t="s"/>
      <c r="AM46" s="13" t="s">
        <f>=IF(OR(L46="标准固收类",L46="非标固收类"),Y46,"")</f>
      </c>
      <c r="AN46" s="15" t="s"/>
      <c r="AO46" s="17" t="s"/>
      <c r="AP46" s="17" t="s"/>
      <c r="AQ46" s="17" t="s"/>
      <c r="AR46" s="17" t="s"/>
      <c r="AS46" s="17" t="s"/>
      <c r="AT46" s="17" t="s"/>
      <c r="AU46" s="17" t="s"/>
      <c r="AV46" s="18" t="s"/>
      <c r="AW46" s="18" t="s"/>
      <c r="AX46" s="18" t="s"/>
      <c r="AY46" s="18" t="s"/>
      <c r="AZ46" s="18" t="s"/>
      <c r="BA46" s="14" t="s"/>
      <c r="BB46" s="17" t="s"/>
      <c r="BC46" s="17" t="s"/>
      <c r="BD46" s="17" t="s"/>
      <c r="BE46" s="17" t="s"/>
      <c r="BF46" s="15" t="s">
        <f>=AM46</f>
      </c>
      <c r="BG46" s="26">
        <v>0.0854460618629241</v>
      </c>
      <c r="BH46" s="27">
        <v>0</v>
      </c>
      <c r="BI46" s="20">
        <v>0.85</v>
      </c>
      <c r="BJ46" s="20" t="s"/>
      <c r="BK46" s="20" t="s"/>
      <c r="BL46" s="20" t="s"/>
      <c r="BM46" s="20" t="s"/>
      <c r="BN46" s="21" t="s"/>
    </row>
    <row r="47" spans="2:66">
      <c r="B47" s="9" t="s">
        <v>168</v>
      </c>
      <c r="C47" s="22" t="s">
        <v>129</v>
      </c>
      <c r="D47" s="9" t="s">
        <v>150</v>
      </c>
      <c r="E47" s="22" t="s">
        <v>104</v>
      </c>
      <c r="F47" s="22" t="s">
        <v>129</v>
      </c>
      <c r="G47" s="9" t="s">
        <v>129</v>
      </c>
      <c r="H47" s="22" t="s"/>
      <c r="I47" s="9" t="s">
        <v>130</v>
      </c>
      <c r="J47" s="9" t="s">
        <v>71</v>
      </c>
      <c r="K47" s="22" t="s">
        <v>129</v>
      </c>
      <c r="L47" s="22" t="s">
        <v>104</v>
      </c>
      <c r="M47" s="10">
        <f>=IF($D47=配置调整!$A$5,VLOOKUP($K47,配置调整!$B$4:$O$29,6,0)*配置调整!$A$6,IF($D47=配置调整!$A$8,VLOOKUP($K47,配置调整!$B$4:$O$29,6,0)*配置调整!$A$9,IF($D47=配置调整!$A$11,VLOOKUP($K47,配置调整!$B$4:$O$29,6,0)*配置调整!$A$12,FALSE)))</f>
        <v>267518.4312424</v>
      </c>
      <c r="N47" s="10">
        <f>=M47</f>
        <v>267518.4312424</v>
      </c>
      <c r="O47" s="9">
        <v>0</v>
      </c>
      <c r="P47" s="11">
        <f>=M47</f>
        <v>267518.4312424</v>
      </c>
      <c r="Q47" s="10">
        <f>=M47</f>
        <v>267518.4312424</v>
      </c>
      <c r="R47" s="10">
        <f>=M47</f>
        <v>267518.4312424</v>
      </c>
      <c r="S47" s="10">
        <v>0</v>
      </c>
      <c r="T47" s="22" t="s"/>
      <c r="U47" s="4" t="s">
        <f>=IF(OR(L47="标准固收类",L47="非标固收类"),$A$2,"")</f>
      </c>
      <c r="V47" s="4" t="s">
        <f>=IF(OR(L47="标准固收类",L47="非标固收类"),EOMONTH($A$2,12),"")</f>
      </c>
      <c r="W47" s="4" t="s">
        <f>=IF(OR(L47="标准固收类",L47="非标固收类"),EOMONTH($A$2,A47*12),"")</f>
      </c>
      <c r="X47" s="22" t="s"/>
      <c r="Y47" s="13">
        <f>=VLOOKUP(资产明细!K47,配置调整!$B$4:$C$29,2,0)</f>
        <v>0.043</v>
      </c>
      <c r="Z47" s="9" t="s">
        <v>74</v>
      </c>
      <c r="AA47" s="22" t="s"/>
      <c r="AB47" s="22" t="s"/>
      <c r="AC47" s="22" t="s">
        <v>131</v>
      </c>
      <c r="AD47" s="10">
        <f>=P47</f>
        <v>267518.4312424</v>
      </c>
      <c r="AE47" s="23" t="s"/>
      <c r="AF47" s="23" t="s"/>
      <c r="AG47" s="23" t="s"/>
      <c r="AH47" s="23" t="s"/>
      <c r="AI47" s="14" t="s"/>
      <c r="AJ47" s="14" t="s"/>
      <c r="AK47" s="14" t="s"/>
      <c r="AL47" s="14" t="s"/>
      <c r="AM47" s="13" t="s">
        <f>=IF(OR(L47="标准固收类",L47="非标固收类"),Y47,"")</f>
      </c>
      <c r="AN47" s="15" t="s"/>
      <c r="AO47" s="17" t="s"/>
      <c r="AP47" s="17" t="s"/>
      <c r="AQ47" s="17" t="s"/>
      <c r="AR47" s="17" t="s"/>
      <c r="AS47" s="17" t="s"/>
      <c r="AT47" s="17" t="s"/>
      <c r="AU47" s="17" t="s"/>
      <c r="AV47" s="18" t="s"/>
      <c r="AW47" s="18" t="s"/>
      <c r="AX47" s="18" t="s"/>
      <c r="AY47" s="18" t="s"/>
      <c r="AZ47" s="18" t="s"/>
      <c r="BA47" s="14" t="s"/>
      <c r="BB47" s="17" t="s"/>
      <c r="BC47" s="17" t="s"/>
      <c r="BD47" s="17" t="s"/>
      <c r="BE47" s="17" t="s"/>
      <c r="BF47" s="15" t="s">
        <f>=AM47</f>
      </c>
      <c r="BG47" s="13">
        <f>=IF(OR(L47="标准固收类",L47="非标固收类"),"",MIN(Y47,2%))</f>
        <v>0.02</v>
      </c>
      <c r="BH47" s="27">
        <v>0</v>
      </c>
      <c r="BI47" s="20">
        <v>0.85</v>
      </c>
      <c r="BJ47" s="20" t="s"/>
      <c r="BK47" s="20" t="s"/>
      <c r="BL47" s="20" t="s"/>
      <c r="BM47" s="20" t="s"/>
      <c r="BN47" s="21" t="s"/>
    </row>
    <row r="48" spans="2:66">
      <c r="B48" s="9" t="s">
        <v>169</v>
      </c>
      <c r="C48" s="22" t="s">
        <v>132</v>
      </c>
      <c r="D48" s="9" t="s">
        <v>150</v>
      </c>
      <c r="E48" s="22" t="s">
        <v>104</v>
      </c>
      <c r="F48" s="22" t="s">
        <v>133</v>
      </c>
      <c r="G48" s="9" t="s">
        <v>132</v>
      </c>
      <c r="H48" s="22" t="s"/>
      <c r="I48" s="9" t="s">
        <v>134</v>
      </c>
      <c r="J48" s="9" t="s">
        <v>71</v>
      </c>
      <c r="K48" s="22" t="s">
        <v>132</v>
      </c>
      <c r="L48" s="22" t="s">
        <v>104</v>
      </c>
      <c r="M48" s="10">
        <f>=IF($D48=配置调整!$A$5,VLOOKUP($K48,配置调整!$B$4:$O$29,6,0)*配置调整!$A$6,IF($D48=配置调整!$A$8,VLOOKUP($K48,配置调整!$B$4:$O$29,6,0)*配置调整!$A$9,IF($D48=配置调整!$A$11,VLOOKUP($K48,配置调整!$B$4:$O$29,6,0)*配置调整!$A$12,FALSE)))</f>
        <v>267518.4312424</v>
      </c>
      <c r="N48" s="10">
        <f>=M48</f>
        <v>267518.4312424</v>
      </c>
      <c r="O48" s="9">
        <v>0</v>
      </c>
      <c r="P48" s="11">
        <f>=M48</f>
        <v>267518.4312424</v>
      </c>
      <c r="Q48" s="10">
        <f>=M48</f>
        <v>267518.4312424</v>
      </c>
      <c r="R48" s="10">
        <f>=M48</f>
        <v>267518.4312424</v>
      </c>
      <c r="S48" s="10">
        <v>0</v>
      </c>
      <c r="T48" s="22" t="s"/>
      <c r="U48" s="4" t="s">
        <f>=IF(OR(L48="标准固收类",L48="非标固收类"),$A$2,"")</f>
      </c>
      <c r="V48" s="4" t="s">
        <f>=IF(OR(L48="标准固收类",L48="非标固收类"),EOMONTH($A$2,12),"")</f>
      </c>
      <c r="W48" s="4" t="s">
        <f>=IF(OR(L48="标准固收类",L48="非标固收类"),EOMONTH($A$2,A48*12),"")</f>
      </c>
      <c r="X48" s="22" t="s"/>
      <c r="Y48" s="13">
        <f>=VLOOKUP(资产明细!K48,配置调整!$B$4:$C$29,2,0)</f>
        <v>0.05</v>
      </c>
      <c r="Z48" s="9" t="s">
        <v>74</v>
      </c>
      <c r="AA48" s="22" t="s"/>
      <c r="AB48" s="22" t="s"/>
      <c r="AC48" s="22" t="s">
        <v>131</v>
      </c>
      <c r="AD48" s="10">
        <f>=P48</f>
        <v>267518.4312424</v>
      </c>
      <c r="AE48" s="23" t="s"/>
      <c r="AF48" s="23" t="s"/>
      <c r="AG48" s="23" t="s"/>
      <c r="AH48" s="23" t="s"/>
      <c r="AI48" s="14" t="s"/>
      <c r="AJ48" s="14" t="s"/>
      <c r="AK48" s="14" t="s"/>
      <c r="AL48" s="14" t="s"/>
      <c r="AM48" s="13" t="s">
        <f>=IF(OR(L48="标准固收类",L48="非标固收类"),Y48,"")</f>
      </c>
      <c r="AN48" s="15" t="s"/>
      <c r="AO48" s="16" t="s"/>
      <c r="AP48" s="17" t="s"/>
      <c r="AQ48" s="17" t="s"/>
      <c r="AR48" s="17" t="s"/>
      <c r="AS48" s="17" t="s"/>
      <c r="AT48" s="17" t="s"/>
      <c r="AU48" s="17" t="s"/>
      <c r="AV48" s="18" t="s"/>
      <c r="AW48" s="18" t="s"/>
      <c r="AX48" s="18" t="s"/>
      <c r="AY48" s="18" t="s"/>
      <c r="AZ48" s="18" t="s"/>
      <c r="BA48" s="14" t="s"/>
      <c r="BB48" s="17" t="s"/>
      <c r="BC48" s="17" t="s"/>
      <c r="BD48" s="17" t="s"/>
      <c r="BE48" s="17" t="s"/>
      <c r="BF48" s="15" t="s">
        <f>=AM48</f>
      </c>
      <c r="BG48" s="13">
        <f>=IF(OR(L48="标准固收类",L48="非标固收类"),"",MIN(Y48,2%))</f>
        <v>0.02</v>
      </c>
      <c r="BH48" s="27">
        <v>0</v>
      </c>
      <c r="BI48" s="20">
        <v>0.85</v>
      </c>
      <c r="BJ48" s="20" t="s"/>
      <c r="BK48" s="20" t="s"/>
      <c r="BL48" s="20" t="s"/>
      <c r="BM48" s="20" t="s"/>
      <c r="BN48" s="21" t="s"/>
    </row>
    <row r="49" spans="2:66">
      <c r="B49" s="9" t="s">
        <v>170</v>
      </c>
      <c r="C49" s="22" t="s">
        <v>135</v>
      </c>
      <c r="D49" s="9" t="s">
        <v>150</v>
      </c>
      <c r="E49" s="22" t="s">
        <v>104</v>
      </c>
      <c r="F49" s="22" t="s">
        <v>133</v>
      </c>
      <c r="G49" s="9" t="s">
        <v>135</v>
      </c>
      <c r="H49" s="22" t="s"/>
      <c r="I49" s="9" t="s">
        <v>136</v>
      </c>
      <c r="J49" s="9" t="s">
        <v>71</v>
      </c>
      <c r="K49" s="22" t="s">
        <v>135</v>
      </c>
      <c r="L49" s="22" t="s">
        <v>104</v>
      </c>
      <c r="M49" s="10">
        <f>=IF($D49=配置调整!$A$5,VLOOKUP($K49,配置调整!$B$4:$O$29,6,0)*配置调整!$A$6,IF($D49=配置调整!$A$8,VLOOKUP($K49,配置调整!$B$4:$O$29,6,0)*配置调整!$A$9,IF($D49=配置调整!$A$11,VLOOKUP($K49,配置调整!$B$4:$O$29,6,0)*配置调整!$A$12,FALSE)))</f>
        <v>167452966.89966</v>
      </c>
      <c r="N49" s="10">
        <f>=M49</f>
        <v>167452966.89966</v>
      </c>
      <c r="O49" s="9">
        <v>0</v>
      </c>
      <c r="P49" s="11">
        <f>=M49</f>
        <v>167452966.89966</v>
      </c>
      <c r="Q49" s="10">
        <f>=M49</f>
        <v>167452966.89966</v>
      </c>
      <c r="R49" s="10">
        <f>=M49</f>
        <v>167452966.89966</v>
      </c>
      <c r="S49" s="10">
        <v>0</v>
      </c>
      <c r="T49" s="22" t="s"/>
      <c r="U49" s="4" t="s">
        <f>=IF(OR(L49="标准固收类",L49="非标固收类"),$A$2,"")</f>
      </c>
      <c r="V49" s="4" t="s">
        <f>=IF(OR(L49="标准固收类",L49="非标固收类"),EOMONTH($A$2,12),"")</f>
      </c>
      <c r="W49" s="4" t="s">
        <f>=IF(OR(L49="标准固收类",L49="非标固收类"),EOMONTH($A$2,A49*12),"")</f>
      </c>
      <c r="X49" s="22" t="s"/>
      <c r="Y49" s="13">
        <f>=VLOOKUP(资产明细!K49,配置调整!$B$4:$C$29,2,0)</f>
        <v>0.086</v>
      </c>
      <c r="Z49" s="9" t="s">
        <v>74</v>
      </c>
      <c r="AA49" s="22" t="s"/>
      <c r="AB49" s="22" t="s"/>
      <c r="AC49" s="22" t="s">
        <v>131</v>
      </c>
      <c r="AD49" s="10">
        <f>=P49</f>
        <v>167452966.89966</v>
      </c>
      <c r="AE49" s="23" t="s"/>
      <c r="AF49" s="23" t="s"/>
      <c r="AG49" s="23" t="s"/>
      <c r="AH49" s="23" t="s"/>
      <c r="AI49" s="14" t="s"/>
      <c r="AJ49" s="14" t="s"/>
      <c r="AK49" s="14" t="s"/>
      <c r="AL49" s="14" t="s"/>
      <c r="AM49" s="13" t="s">
        <f>=IF(OR(L49="标准固收类",L49="非标固收类"),Y49,"")</f>
      </c>
      <c r="AN49" s="15" t="s"/>
      <c r="AO49" s="16" t="s"/>
      <c r="AP49" s="17" t="s"/>
      <c r="AQ49" s="17" t="s"/>
      <c r="AR49" s="17" t="s"/>
      <c r="AS49" s="17" t="s"/>
      <c r="AT49" s="17" t="s"/>
      <c r="AU49" s="17" t="s"/>
      <c r="AV49" s="18" t="s"/>
      <c r="AW49" s="18" t="s"/>
      <c r="AX49" s="18" t="s"/>
      <c r="AY49" s="18" t="s"/>
      <c r="AZ49" s="18" t="s"/>
      <c r="BA49" s="14" t="s"/>
      <c r="BB49" s="17" t="s"/>
      <c r="BC49" s="17" t="s"/>
      <c r="BD49" s="17" t="s"/>
      <c r="BE49" s="17" t="s"/>
      <c r="BF49" s="15" t="s">
        <f>=AM49</f>
      </c>
      <c r="BG49" s="13">
        <f>=IF(OR(L49="标准固收类",L49="非标固收类"),"",MIN(Y49,2%))</f>
        <v>0.02</v>
      </c>
      <c r="BH49" s="19">
        <v>0</v>
      </c>
      <c r="BI49" s="20">
        <v>0.85</v>
      </c>
      <c r="BJ49" s="20" t="s"/>
      <c r="BK49" s="20" t="s"/>
      <c r="BL49" s="20" t="s"/>
      <c r="BM49" s="20" t="s"/>
      <c r="BN49" s="21" t="s"/>
    </row>
    <row r="50" spans="2:66">
      <c r="B50" s="9" t="s">
        <v>171</v>
      </c>
      <c r="C50" s="22" t="s">
        <v>137</v>
      </c>
      <c r="D50" s="9" t="s">
        <v>150</v>
      </c>
      <c r="E50" s="9" t="s">
        <v>68</v>
      </c>
      <c r="F50" s="22" t="s">
        <v>137</v>
      </c>
      <c r="G50" s="9" t="s">
        <v>137</v>
      </c>
      <c r="H50" s="22" t="s"/>
      <c r="I50" s="9" t="s">
        <v>138</v>
      </c>
      <c r="J50" s="9" t="s">
        <v>71</v>
      </c>
      <c r="K50" s="22" t="s">
        <v>137</v>
      </c>
      <c r="L50" s="22" t="s">
        <v>104</v>
      </c>
      <c r="M50" s="10">
        <f>=IF($D50=配置调整!$A$5,VLOOKUP($K50,配置调整!$B$4:$O$29,6,0)*配置调整!$A$6,IF($D50=配置调整!$A$8,VLOOKUP($K50,配置调整!$B$4:$O$29,6,0)*配置调整!$A$9,IF($D50=配置调整!$A$11,VLOOKUP($K50,配置调整!$B$4:$O$29,6,0)*配置调整!$A$12,FALSE)))</f>
        <v>2687729498.48662</v>
      </c>
      <c r="N50" s="10">
        <f>=M50</f>
        <v>2687729498.48662</v>
      </c>
      <c r="O50" s="9">
        <v>0</v>
      </c>
      <c r="P50" s="11">
        <f>=M50</f>
        <v>2687729498.48662</v>
      </c>
      <c r="Q50" s="10">
        <f>=M50</f>
        <v>2687729498.48662</v>
      </c>
      <c r="R50" s="10">
        <f>=M50</f>
        <v>2687729498.48662</v>
      </c>
      <c r="S50" s="10">
        <v>0</v>
      </c>
      <c r="T50" s="22" t="s"/>
      <c r="U50" s="4" t="s">
        <f>=IF(OR(L50="标准固收类",L50="非标固收类"),$A$2,"")</f>
      </c>
      <c r="V50" s="4" t="s">
        <f>=IF(OR(L50="标准固收类",L50="非标固收类"),EOMONTH($A$2,12),"")</f>
      </c>
      <c r="W50" s="4" t="s">
        <f>=IF(OR(L50="标准固收类",L50="非标固收类"),EOMONTH($A$2,A50*12),"")</f>
      </c>
      <c r="X50" s="22" t="s"/>
      <c r="Y50" s="13">
        <f>=VLOOKUP(资产明细!K50,配置调整!$B$4:$C$29,2,0)</f>
        <v>0.0348160404671754</v>
      </c>
      <c r="Z50" s="22" t="s">
        <v>74</v>
      </c>
      <c r="AA50" s="22" t="s"/>
      <c r="AB50" s="22" t="s"/>
      <c r="AC50" s="22" t="s">
        <v>119</v>
      </c>
      <c r="AD50" s="10">
        <f>=P50</f>
        <v>2687729498.48662</v>
      </c>
      <c r="AE50" s="23" t="s"/>
      <c r="AF50" s="23" t="s"/>
      <c r="AG50" s="23" t="s"/>
      <c r="AH50" s="23" t="s"/>
      <c r="AI50" s="14" t="s"/>
      <c r="AJ50" s="14" t="s"/>
      <c r="AK50" s="14" t="s"/>
      <c r="AL50" s="14" t="s"/>
      <c r="AM50" s="13" t="s">
        <f>=IF(OR(L50="标准固收类",L50="非标固收类"),Y50,"")</f>
      </c>
      <c r="AN50" s="18" t="s"/>
      <c r="AO50" s="17" t="s"/>
      <c r="AP50" s="17" t="s"/>
      <c r="AQ50" s="17" t="s"/>
      <c r="AR50" s="17" t="s"/>
      <c r="AS50" s="17" t="s"/>
      <c r="AT50" s="17" t="s"/>
      <c r="AU50" s="17" t="s"/>
      <c r="AV50" s="18" t="s"/>
      <c r="AW50" s="18" t="s"/>
      <c r="AX50" s="18" t="s"/>
      <c r="AY50" s="18" t="s"/>
      <c r="AZ50" s="18" t="s"/>
      <c r="BA50" s="14" t="s"/>
      <c r="BB50" s="17" t="s"/>
      <c r="BC50" s="17" t="s"/>
      <c r="BD50" s="17" t="s"/>
      <c r="BE50" s="17" t="s"/>
      <c r="BF50" s="15" t="s">
        <f>=AM50</f>
      </c>
      <c r="BG50" s="13">
        <f>=IF(OR(L50="标准固收类",L50="非标固收类"),"",MIN(Y50,2%))</f>
        <v>0.02</v>
      </c>
      <c r="BH50" s="19">
        <v>0</v>
      </c>
      <c r="BI50" s="20">
        <v>0.85</v>
      </c>
      <c r="BJ50" s="20" t="s"/>
      <c r="BK50" s="20" t="s"/>
      <c r="BL50" s="20" t="s"/>
      <c r="BM50" s="20" t="s"/>
      <c r="BN50" s="21" t="s"/>
    </row>
    <row r="51" spans="2:66">
      <c r="B51" s="9" t="s">
        <v>172</v>
      </c>
      <c r="C51" s="9" t="s">
        <v>139</v>
      </c>
      <c r="D51" s="9" t="s">
        <v>150</v>
      </c>
      <c r="E51" s="9" t="s">
        <v>139</v>
      </c>
      <c r="F51" s="9" t="s">
        <v>139</v>
      </c>
      <c r="G51" s="9" t="s">
        <v>139</v>
      </c>
      <c r="I51" s="9" t="s">
        <v>140</v>
      </c>
      <c r="J51" s="9" t="s">
        <v>71</v>
      </c>
      <c r="K51" s="9" t="s">
        <v>139</v>
      </c>
      <c r="L51" s="22" t="s">
        <v>139</v>
      </c>
      <c r="M51" s="10">
        <f>=IF($D51=配置调整!$A$5,VLOOKUP($K51,配置调整!$B$4:$O$29,6,0)*配置调整!$A$6,IF($D51=配置调整!$A$8,VLOOKUP($K51,配置调整!$B$4:$O$29,6,0)*配置调整!$A$9,IF($D51=配置调整!$A$11,VLOOKUP($K51,配置调整!$B$4:$O$29,6,0)*配置调整!$A$12,FALSE)))</f>
        <v>829941370.026691</v>
      </c>
      <c r="N51" s="10">
        <f>=M51</f>
        <v>829941370.026691</v>
      </c>
      <c r="O51" s="9">
        <v>0</v>
      </c>
      <c r="P51" s="11">
        <f>=M51</f>
        <v>829941370.026691</v>
      </c>
      <c r="Q51" s="10">
        <f>=M51</f>
        <v>829941370.026691</v>
      </c>
      <c r="R51" s="10">
        <f>=M51</f>
        <v>829941370.026691</v>
      </c>
      <c r="S51" s="10">
        <v>0</v>
      </c>
      <c r="T51" s="22" t="s"/>
      <c r="U51" s="4" t="s">
        <f>=IF(OR(L51="标准固收类",L51="非标固收类"),$A$2,"")</f>
      </c>
      <c r="V51" s="4" t="s">
        <f>=IF(OR(L51="标准固收类",L51="非标固收类"),EOMONTH($A$2,12),"")</f>
      </c>
      <c r="W51" s="4" t="s">
        <f>=IF(OR(L51="标准固收类",L51="非标固收类"),EOMONTH($A$2,A51*12),"")</f>
      </c>
      <c r="X51" s="22" t="s"/>
      <c r="Y51" s="13">
        <f>=VLOOKUP(资产明细!K51,配置调整!$B$4:$C$29,2,0)</f>
        <v>0.015</v>
      </c>
      <c r="Z51" s="22" t="s">
        <v>74</v>
      </c>
      <c r="AA51" s="22" t="s"/>
      <c r="AB51" s="22" t="s"/>
      <c r="AC51" s="22" t="s"/>
      <c r="AD51" s="10">
        <f>=P51</f>
        <v>829941370.026691</v>
      </c>
      <c r="AE51" s="23" t="s"/>
      <c r="AF51" s="23" t="s"/>
      <c r="AG51" s="23" t="s"/>
      <c r="AH51" s="23" t="s"/>
      <c r="AI51" s="14" t="s"/>
      <c r="AJ51" s="14" t="s"/>
      <c r="AK51" s="14" t="s"/>
      <c r="AL51" s="14" t="s"/>
      <c r="AM51" s="13" t="s">
        <f>=IF(OR(L51="标准固收类",L51="非标固收类"),Y51,"")</f>
      </c>
      <c r="AN51" s="15" t="s"/>
      <c r="AO51" s="16" t="s"/>
      <c r="AP51" s="17" t="s"/>
      <c r="AQ51" s="17" t="s"/>
      <c r="AR51" s="17" t="s"/>
      <c r="AS51" s="17" t="s"/>
      <c r="AT51" s="17" t="s"/>
      <c r="AU51" s="17" t="s"/>
      <c r="AV51" s="18" t="s"/>
      <c r="AW51" s="18" t="s"/>
      <c r="AX51" s="18" t="s"/>
      <c r="AY51" s="18" t="s"/>
      <c r="AZ51" s="18" t="s"/>
      <c r="BA51" s="14" t="s"/>
      <c r="BB51" s="17" t="s"/>
      <c r="BC51" s="17" t="s"/>
      <c r="BD51" s="17" t="s"/>
      <c r="BE51" s="17" t="s"/>
      <c r="BF51" s="15" t="s">
        <f>=AM51</f>
      </c>
      <c r="BG51" s="13">
        <f>=IF(OR(L51="标准固收类",L51="非标固收类"),"",MIN(Y51,2%))</f>
        <v>0.015</v>
      </c>
      <c r="BH51" s="19">
        <v>0</v>
      </c>
      <c r="BI51" s="20">
        <v>0.85</v>
      </c>
      <c r="BJ51" s="20" t="s"/>
      <c r="BK51" s="20" t="s"/>
      <c r="BL51" s="20" t="s"/>
      <c r="BM51" s="20" t="s"/>
      <c r="BN51" s="21" t="s"/>
    </row>
    <row r="52" spans="1:66">
      <c r="A52" s="9">
        <v>3</v>
      </c>
      <c r="B52" s="9" t="s">
        <v>173</v>
      </c>
      <c r="C52" s="9" t="s">
        <v>141</v>
      </c>
      <c r="D52" s="9" t="s">
        <v>150</v>
      </c>
      <c r="E52" s="9" t="s">
        <v>68</v>
      </c>
      <c r="F52" s="9" t="s">
        <v>141</v>
      </c>
      <c r="G52" s="9" t="s">
        <v>141</v>
      </c>
      <c r="I52" s="9" t="s">
        <v>142</v>
      </c>
      <c r="J52" s="9" t="s">
        <v>71</v>
      </c>
      <c r="K52" s="9" t="s">
        <v>141</v>
      </c>
      <c r="L52" s="22" t="s">
        <v>72</v>
      </c>
      <c r="M52" s="10">
        <f>=IF($D52=配置调整!$A$5,VLOOKUP($K52,配置调整!$B$4:$O$29,6,0)*配置调整!$A$6,IF($D52=配置调整!$A$8,VLOOKUP($K52,配置调整!$B$4:$O$29,6,0)*配置调整!$A$9,IF($D52=配置调整!$A$11,VLOOKUP($K52,配置调整!$B$4:$O$29,6,0)*配置调整!$A$12,FALSE)))</f>
        <v>3277308354.11947</v>
      </c>
      <c r="N52" s="10">
        <f>=M52</f>
        <v>3277308354.11947</v>
      </c>
      <c r="O52" s="9">
        <v>0</v>
      </c>
      <c r="P52" s="11">
        <f>=M52</f>
        <v>3277308354.11947</v>
      </c>
      <c r="Q52" s="10">
        <f>=M52</f>
        <v>3277308354.11947</v>
      </c>
      <c r="R52" s="10">
        <f>=M52</f>
        <v>3277308354.11947</v>
      </c>
      <c r="S52" s="10">
        <v>0</v>
      </c>
      <c r="T52" s="22">
        <v>1</v>
      </c>
      <c r="U52" s="4">
        <f>=IF(OR(L52="标准固收类",L52="非标固收类"),$A$2,"")</f>
        <v>45657</v>
      </c>
      <c r="V52" s="4">
        <f>=IF(OR(L52="标准固收类",L52="非标固收类"),EOMONTH($A$2,12),"")</f>
        <v>46022</v>
      </c>
      <c r="W52" s="4">
        <f>=IF(OR(L52="标准固收类",L52="非标固收类"),EOMONTH($A$2,A52*12),"")</f>
        <v>46752</v>
      </c>
      <c r="X52" s="22" t="s">
        <v>73</v>
      </c>
      <c r="Y52" s="13">
        <f>=VLOOKUP(资产明细!K52,配置调整!$B$4:$C$29,2,0)</f>
        <v>0.0316516641299411</v>
      </c>
      <c r="Z52" s="22" t="s">
        <v>74</v>
      </c>
      <c r="AA52" s="22" t="s">
        <v>143</v>
      </c>
      <c r="AB52" s="22" t="s"/>
      <c r="AC52" s="22" t="s"/>
      <c r="AD52" s="10">
        <f>=P52</f>
        <v>3277308354.11947</v>
      </c>
      <c r="AE52" s="23" t="s"/>
      <c r="AF52" s="23" t="s"/>
      <c r="AG52" s="23" t="s"/>
      <c r="AH52" s="23" t="s"/>
      <c r="AI52" s="14" t="s"/>
      <c r="AJ52" s="14" t="s"/>
      <c r="AK52" s="14" t="s"/>
      <c r="AL52" s="14" t="s"/>
      <c r="AM52" s="13">
        <f>=IF(OR(L52="标准固收类",L52="非标固收类"),Y52,"")</f>
        <v>0.0316516641299411</v>
      </c>
      <c r="AN52" s="15" t="s"/>
      <c r="AO52" s="17" t="s"/>
      <c r="AP52" s="17" t="s"/>
      <c r="AQ52" s="17" t="s"/>
      <c r="AR52" s="17" t="s"/>
      <c r="AS52" s="17" t="s"/>
      <c r="AT52" s="17" t="s"/>
      <c r="AU52" s="17" t="s"/>
      <c r="AV52" s="18" t="s"/>
      <c r="AW52" s="18" t="s"/>
      <c r="AX52" s="18" t="s"/>
      <c r="AY52" s="18" t="s"/>
      <c r="AZ52" s="18" t="s"/>
      <c r="BA52" s="14" t="s"/>
      <c r="BB52" s="17" t="s"/>
      <c r="BC52" s="17" t="s"/>
      <c r="BD52" s="17" t="s"/>
      <c r="BE52" s="17" t="s"/>
      <c r="BF52" s="15">
        <f>=AM52</f>
        <v>0.0316516641299411</v>
      </c>
      <c r="BG52" s="13" t="s">
        <f>=IF(OR(L52="标准固收类",L52="非标固收类"),"",MIN(Y52,2%))</f>
      </c>
      <c r="BH52" s="19">
        <v>0</v>
      </c>
      <c r="BI52" s="20">
        <v>0.85</v>
      </c>
      <c r="BJ52" s="20" t="s"/>
      <c r="BK52" s="20" t="s"/>
      <c r="BL52" s="20" t="s"/>
      <c r="BM52" s="20" t="s"/>
      <c r="BN52" s="21" t="s"/>
    </row>
    <row r="53" spans="1:66">
      <c r="A53" s="9">
        <v>5</v>
      </c>
      <c r="B53" s="9" t="s">
        <v>174</v>
      </c>
      <c r="C53" s="9" t="s">
        <v>144</v>
      </c>
      <c r="D53" s="9" t="s">
        <v>150</v>
      </c>
      <c r="E53" s="9" t="s">
        <v>68</v>
      </c>
      <c r="F53" s="9" t="s">
        <v>144</v>
      </c>
      <c r="G53" s="9" t="s">
        <v>144</v>
      </c>
      <c r="I53" s="9" t="s">
        <v>145</v>
      </c>
      <c r="J53" s="9" t="s">
        <v>71</v>
      </c>
      <c r="K53" s="9" t="s">
        <v>144</v>
      </c>
      <c r="L53" s="22" t="s">
        <v>72</v>
      </c>
      <c r="M53" s="10">
        <f>=IF($D53=配置调整!$A$5,VLOOKUP($K53,配置调整!$B$4:$O$29,6,0)*配置调整!$A$6,IF($D53=配置调整!$A$8,VLOOKUP($K53,配置调整!$B$4:$O$29,6,0)*配置调整!$A$9,IF($D53=配置调整!$A$11,VLOOKUP($K53,配置调整!$B$4:$O$29,6,0)*配置调整!$A$12,FALSE)))</f>
        <v>1202258409.85354</v>
      </c>
      <c r="N53" s="10">
        <f>=M53</f>
        <v>1202258409.85354</v>
      </c>
      <c r="O53" s="9">
        <v>0</v>
      </c>
      <c r="P53" s="11">
        <f>=M53</f>
        <v>1202258409.85354</v>
      </c>
      <c r="Q53" s="10">
        <f>=M53</f>
        <v>1202258409.85354</v>
      </c>
      <c r="R53" s="10">
        <f>=M53</f>
        <v>1202258409.85354</v>
      </c>
      <c r="S53" s="10">
        <v>0</v>
      </c>
      <c r="T53" s="22">
        <v>1</v>
      </c>
      <c r="U53" s="4">
        <f>=IF(OR(L53="标准固收类",L53="非标固收类"),$A$2,"")</f>
        <v>45657</v>
      </c>
      <c r="V53" s="4">
        <f>=IF(OR(L53="标准固收类",L53="非标固收类"),EOMONTH($A$2,12),"")</f>
        <v>46022</v>
      </c>
      <c r="W53" s="4">
        <f>=IF(OR(L53="标准固收类",L53="非标固收类"),EOMONTH($A$2,A53*12),"")</f>
        <v>47483</v>
      </c>
      <c r="X53" s="22" t="s">
        <v>73</v>
      </c>
      <c r="Y53" s="13">
        <f>=VLOOKUP(资产明细!K53,配置调整!$B$4:$C$29,2,0)</f>
        <v>0.028</v>
      </c>
      <c r="Z53" s="22" t="s">
        <v>74</v>
      </c>
      <c r="AA53" s="22" t="s">
        <v>87</v>
      </c>
      <c r="AB53" s="22" t="s"/>
      <c r="AC53" s="22" t="s"/>
      <c r="AD53" s="10">
        <f>=P53</f>
        <v>1202258409.85354</v>
      </c>
      <c r="AE53" s="23" t="s"/>
      <c r="AF53" s="23" t="s"/>
      <c r="AG53" s="23" t="s"/>
      <c r="AH53" s="23" t="s"/>
      <c r="AI53" s="14" t="s"/>
      <c r="AJ53" s="14" t="s"/>
      <c r="AK53" s="14" t="s"/>
      <c r="AL53" s="14" t="s"/>
      <c r="AM53" s="13">
        <f>=IF(OR(L53="标准固收类",L53="非标固收类"),Y53,"")</f>
        <v>0.028</v>
      </c>
      <c r="AN53" s="15" t="s"/>
      <c r="AO53" s="16" t="s"/>
      <c r="AP53" s="17" t="s"/>
      <c r="AQ53" s="17" t="s"/>
      <c r="AR53" s="17" t="s"/>
      <c r="AS53" s="17" t="s"/>
      <c r="AT53" s="17" t="s"/>
      <c r="AU53" s="17" t="s"/>
      <c r="AV53" s="18" t="s"/>
      <c r="AW53" s="18" t="s"/>
      <c r="AX53" s="18" t="s"/>
      <c r="AY53" s="18" t="s"/>
      <c r="AZ53" s="18" t="s"/>
      <c r="BA53" s="14" t="s"/>
      <c r="BB53" s="17" t="s"/>
      <c r="BC53" s="17" t="s"/>
      <c r="BD53" s="17" t="s"/>
      <c r="BE53" s="17" t="s"/>
      <c r="BF53" s="15">
        <f>=AM53</f>
        <v>0.028</v>
      </c>
      <c r="BG53" s="13" t="s">
        <f>=IF(OR(L53="标准固收类",L53="非标固收类"),"",MIN(Y53,2%))</f>
      </c>
      <c r="BH53" s="19">
        <v>0</v>
      </c>
      <c r="BI53" s="20">
        <v>0.85</v>
      </c>
      <c r="BJ53" s="20" t="s"/>
      <c r="BK53" s="20" t="s"/>
      <c r="BL53" s="20" t="s"/>
      <c r="BM53" s="20" t="s"/>
      <c r="BN53" s="21" t="s"/>
    </row>
    <row r="54" spans="2:66">
      <c r="B54" s="9" t="s">
        <v>175</v>
      </c>
      <c r="C54" s="9" t="s">
        <v>146</v>
      </c>
      <c r="D54" s="9" t="s">
        <v>150</v>
      </c>
      <c r="E54" s="9" t="s">
        <v>146</v>
      </c>
      <c r="F54" s="9" t="s">
        <v>146</v>
      </c>
      <c r="G54" s="9" t="s">
        <v>146</v>
      </c>
      <c r="I54" s="9" t="s">
        <v>147</v>
      </c>
      <c r="J54" s="9" t="s">
        <v>71</v>
      </c>
      <c r="K54" s="9" t="s">
        <v>146</v>
      </c>
      <c r="L54" s="22" t="s">
        <v>104</v>
      </c>
      <c r="M54" s="10">
        <f>=IF($D54=配置调整!$A$5,VLOOKUP($K54,配置调整!$B$4:$O$29,6,0)*配置调整!$A$6,IF($D54=配置调整!$A$8,VLOOKUP($K54,配置调整!$B$4:$O$29,6,0)*配置调整!$A$9,IF($D54=配置调整!$A$11,VLOOKUP($K54,配置调整!$B$4:$O$29,6,0)*配置调整!$A$12,FALSE)))</f>
        <v>2611991867.46325</v>
      </c>
      <c r="N54" s="10">
        <f>=M54</f>
        <v>2611991867.46325</v>
      </c>
      <c r="O54" s="9">
        <v>0</v>
      </c>
      <c r="P54" s="11">
        <f>=M54</f>
        <v>2611991867.46325</v>
      </c>
      <c r="Q54" s="10">
        <f>=M54</f>
        <v>2611991867.46325</v>
      </c>
      <c r="R54" s="10">
        <f>=M54</f>
        <v>2611991867.46325</v>
      </c>
      <c r="S54" s="10">
        <v>0</v>
      </c>
      <c r="T54" s="22" t="s"/>
      <c r="U54" s="4" t="s">
        <f>=IF(OR(L54="标准固收类",L54="非标固收类"),$A$2,"")</f>
      </c>
      <c r="V54" s="4" t="s">
        <f>=IF(OR(L54="标准固收类",L54="非标固收类"),EOMONTH($A$2,12),"")</f>
      </c>
      <c r="W54" s="4" t="s">
        <f>=IF(OR(L54="标准固收类",L54="非标固收类"),EOMONTH($A$2,A54*12),"")</f>
      </c>
      <c r="X54" s="22" t="s"/>
      <c r="Y54" s="13">
        <f>=VLOOKUP(资产明细!K54,配置调整!$B$4:$C$29,2,0)</f>
        <v>0.065</v>
      </c>
      <c r="Z54" s="22" t="s">
        <v>74</v>
      </c>
      <c r="AA54" s="22" t="s"/>
      <c r="AB54" s="22" t="s"/>
      <c r="AC54" s="22" t="s">
        <v>148</v>
      </c>
      <c r="AD54" s="10">
        <f>=P54</f>
        <v>2611991867.46325</v>
      </c>
      <c r="AE54" s="23" t="s"/>
      <c r="AF54" s="23" t="s"/>
      <c r="AG54" s="23" t="s"/>
      <c r="AH54" s="23" t="s"/>
      <c r="AI54" s="14" t="s"/>
      <c r="AJ54" s="14" t="s"/>
      <c r="AK54" s="14" t="s"/>
      <c r="AL54" s="14" t="s"/>
      <c r="AM54" s="13" t="s">
        <f>=IF(OR(L54="标准固收类",L54="非标固收类"),Y54,"")</f>
      </c>
      <c r="AN54" s="18" t="s"/>
      <c r="AO54" s="17" t="s"/>
      <c r="AP54" s="17" t="s"/>
      <c r="AQ54" s="17" t="s"/>
      <c r="AR54" s="17" t="s"/>
      <c r="AS54" s="17" t="s"/>
      <c r="AT54" s="17" t="s"/>
      <c r="AU54" s="17" t="s"/>
      <c r="AV54" s="18" t="s"/>
      <c r="AW54" s="18" t="s"/>
      <c r="AX54" s="18" t="s"/>
      <c r="AY54" s="18" t="s"/>
      <c r="AZ54" s="18" t="s"/>
      <c r="BA54" s="14" t="s"/>
      <c r="BB54" s="17" t="s"/>
      <c r="BC54" s="17" t="s"/>
      <c r="BD54" s="17" t="s"/>
      <c r="BE54" s="17" t="s"/>
      <c r="BF54" s="15" t="s">
        <f>=AM54</f>
      </c>
      <c r="BG54" s="13">
        <f>=IF(OR(L54="标准固收类",L54="非标固收类"),"",MIN(Y54,2%))</f>
        <v>0.02</v>
      </c>
      <c r="BH54" s="19">
        <v>0</v>
      </c>
      <c r="BI54" s="20">
        <v>0.85</v>
      </c>
      <c r="BJ54" s="20" t="s"/>
      <c r="BK54" s="20" t="s"/>
      <c r="BL54" s="20" t="s"/>
      <c r="BM54" s="20" t="s"/>
      <c r="BN54" s="21" t="s"/>
    </row>
    <row r="55" spans="1:66">
      <c r="A55" s="9">
        <v>3</v>
      </c>
      <c r="B55" s="9" t="s">
        <v>176</v>
      </c>
      <c r="C55" s="9" t="s">
        <v>66</v>
      </c>
      <c r="D55" s="9" t="s">
        <v>177</v>
      </c>
      <c r="E55" s="9" t="s">
        <v>68</v>
      </c>
      <c r="F55" s="9" t="s">
        <v>69</v>
      </c>
      <c r="G55" s="9" t="s">
        <v>66</v>
      </c>
      <c r="I55" s="9" t="s">
        <v>70</v>
      </c>
      <c r="J55" s="9" t="s">
        <v>71</v>
      </c>
      <c r="K55" s="9" t="s">
        <v>66</v>
      </c>
      <c r="L55" s="9" t="s">
        <v>72</v>
      </c>
      <c r="M55" s="10">
        <f>=IF($D55=配置调整!$A$5,VLOOKUP($K55,配置调整!$B$4:$O$29,6,0)*配置调整!$A$6,IF($D55=配置调整!$A$8,VLOOKUP($K55,配置调整!$B$4:$O$29,6,0)*配置调整!$A$9,IF($D55=配置调整!$A$11,VLOOKUP($K55,配置调整!$B$4:$O$29,6,0)*配置调整!$A$12,FALSE)))</f>
        <v>98950473.6447106</v>
      </c>
      <c r="N55" s="10">
        <f>=M55</f>
        <v>98950473.6447106</v>
      </c>
      <c r="O55" s="9">
        <v>0</v>
      </c>
      <c r="P55" s="11">
        <f>=M55</f>
        <v>98950473.6447106</v>
      </c>
      <c r="Q55" s="10">
        <f>=M55</f>
        <v>98950473.6447106</v>
      </c>
      <c r="R55" s="10">
        <f>=M55</f>
        <v>98950473.6447106</v>
      </c>
      <c r="S55" s="10">
        <v>0</v>
      </c>
      <c r="T55" s="12">
        <v>1</v>
      </c>
      <c r="U55" s="4">
        <f>=IF(OR(L55="标准固收类",L55="非标固收类"),$A$2,"")</f>
        <v>45657</v>
      </c>
      <c r="V55" s="4">
        <f>=IF(OR(L55="标准固收类",L55="非标固收类"),EOMONTH($A$2,12),"")</f>
        <v>46022</v>
      </c>
      <c r="W55" s="4">
        <f>=IF(OR(L55="标准固收类",L55="非标固收类"),EOMONTH($A$2,A55*12),"")</f>
        <v>46752</v>
      </c>
      <c r="X55" s="9" t="s">
        <v>73</v>
      </c>
      <c r="Y55" s="13">
        <f>=VLOOKUP(资产明细!K55,配置调整!$B$4:$C$29,2,0)</f>
        <v>0.011872</v>
      </c>
      <c r="Z55" s="9" t="s">
        <v>74</v>
      </c>
      <c r="AD55" s="10">
        <f>=P55</f>
        <v>98950473.6447106</v>
      </c>
      <c r="AI55" s="14" t="s"/>
      <c r="AJ55" s="14" t="s"/>
      <c r="AK55" s="14" t="s"/>
      <c r="AL55" s="14" t="s"/>
      <c r="AM55" s="13">
        <f>=IF(OR(L55="标准固收类",L55="非标固收类"),Y55,"")</f>
        <v>0.011872</v>
      </c>
      <c r="AN55" s="18" t="s"/>
      <c r="AO55" s="17" t="s"/>
      <c r="AP55" s="17" t="s"/>
      <c r="AQ55" s="17" t="s"/>
      <c r="AR55" s="17" t="s"/>
      <c r="AS55" s="17" t="s"/>
      <c r="AT55" s="17" t="s"/>
      <c r="AU55" s="17" t="s"/>
      <c r="AV55" s="18" t="s"/>
      <c r="AW55" s="18" t="s"/>
      <c r="AX55" s="18" t="s"/>
      <c r="AY55" s="18" t="s"/>
      <c r="AZ55" s="18" t="s"/>
      <c r="BA55" s="14" t="s"/>
      <c r="BB55" s="17" t="s"/>
      <c r="BC55" s="17" t="s"/>
      <c r="BD55" s="17" t="s"/>
      <c r="BE55" s="17" t="s"/>
      <c r="BF55" s="15">
        <f>=AM55</f>
        <v>0.011872</v>
      </c>
      <c r="BG55" s="13" t="s">
        <f>=IF(OR(L55="标准固收类",L55="非标固收类"),"",MIN(Y55,2%))</f>
      </c>
      <c r="BH55" s="19">
        <v>0</v>
      </c>
      <c r="BI55" s="20">
        <v>0.85</v>
      </c>
      <c r="BJ55" s="20" t="s"/>
      <c r="BK55" s="20" t="s"/>
      <c r="BL55" s="20" t="s"/>
      <c r="BM55" s="20" t="s"/>
      <c r="BN55" s="21" t="s"/>
    </row>
    <row r="56" spans="1:66">
      <c r="A56" s="9">
        <v>5</v>
      </c>
      <c r="B56" s="9" t="s">
        <v>178</v>
      </c>
      <c r="C56" s="9" t="s">
        <v>75</v>
      </c>
      <c r="D56" s="9" t="s">
        <v>177</v>
      </c>
      <c r="E56" s="9" t="s">
        <v>68</v>
      </c>
      <c r="F56" s="9" t="s">
        <v>69</v>
      </c>
      <c r="G56" s="9" t="s">
        <v>75</v>
      </c>
      <c r="I56" s="9" t="s">
        <v>76</v>
      </c>
      <c r="J56" s="9" t="s">
        <v>71</v>
      </c>
      <c r="K56" s="9" t="s">
        <v>75</v>
      </c>
      <c r="L56" s="9" t="s">
        <v>72</v>
      </c>
      <c r="M56" s="10">
        <f>=IF($D56=配置调整!$A$5,VLOOKUP($K56,配置调整!$B$4:$O$29,6,0)*配置调整!$A$6,IF($D56=配置调整!$A$8,VLOOKUP($K56,配置调整!$B$4:$O$29,6,0)*配置调整!$A$9,IF($D56=配置调整!$A$11,VLOOKUP($K56,配置调整!$B$4:$O$29,6,0)*配置调整!$A$12,FALSE)))</f>
        <v>208409706.4459</v>
      </c>
      <c r="N56" s="10">
        <f>=M56</f>
        <v>208409706.4459</v>
      </c>
      <c r="O56" s="9">
        <v>0</v>
      </c>
      <c r="P56" s="11">
        <f>=M56</f>
        <v>208409706.4459</v>
      </c>
      <c r="Q56" s="10">
        <f>=M56</f>
        <v>208409706.4459</v>
      </c>
      <c r="R56" s="10">
        <f>=M56</f>
        <v>208409706.4459</v>
      </c>
      <c r="S56" s="10">
        <v>0</v>
      </c>
      <c r="T56" s="12">
        <v>1</v>
      </c>
      <c r="U56" s="4">
        <f>=IF(OR(L56="标准固收类",L56="非标固收类"),$A$2,"")</f>
        <v>45657</v>
      </c>
      <c r="V56" s="4">
        <f>=IF(OR(L56="标准固收类",L56="非标固收类"),EOMONTH($A$2,12),"")</f>
        <v>46022</v>
      </c>
      <c r="W56" s="4">
        <f>=IF(OR(L56="标准固收类",L56="非标固收类"),EOMONTH($A$2,A56*12),"")</f>
        <v>47483</v>
      </c>
      <c r="X56" s="9" t="s">
        <v>73</v>
      </c>
      <c r="Y56" s="13">
        <f>=VLOOKUP(资产明细!K56,配置调整!$B$4:$C$29,2,0)</f>
        <v>0.014152</v>
      </c>
      <c r="Z56" s="9" t="s">
        <v>74</v>
      </c>
      <c r="AD56" s="10">
        <f>=P56</f>
        <v>208409706.4459</v>
      </c>
      <c r="AI56" s="14" t="s"/>
      <c r="AJ56" s="14" t="s"/>
      <c r="AK56" s="14" t="s"/>
      <c r="AL56" s="14" t="s"/>
      <c r="AM56" s="13">
        <f>=IF(OR(L56="标准固收类",L56="非标固收类"),Y56,"")</f>
        <v>0.014152</v>
      </c>
      <c r="AN56" s="18" t="s"/>
      <c r="AO56" s="17" t="s"/>
      <c r="AP56" s="17" t="s"/>
      <c r="AQ56" s="17" t="s"/>
      <c r="AR56" s="17" t="s"/>
      <c r="AS56" s="17" t="s"/>
      <c r="AT56" s="17" t="s"/>
      <c r="AU56" s="17" t="s"/>
      <c r="AV56" s="18" t="s"/>
      <c r="AW56" s="18" t="s"/>
      <c r="AX56" s="18" t="s"/>
      <c r="AY56" s="18" t="s"/>
      <c r="AZ56" s="18" t="s"/>
      <c r="BA56" s="14" t="s"/>
      <c r="BB56" s="17" t="s"/>
      <c r="BC56" s="17" t="s"/>
      <c r="BD56" s="17" t="s"/>
      <c r="BE56" s="17" t="s"/>
      <c r="BF56" s="15">
        <f>=AM56</f>
        <v>0.014152</v>
      </c>
      <c r="BG56" s="13" t="s">
        <f>=IF(OR(L56="标准固收类",L56="非标固收类"),"",MIN(Y56,2%))</f>
      </c>
      <c r="BH56" s="19">
        <v>0</v>
      </c>
      <c r="BI56" s="20">
        <v>0.85</v>
      </c>
      <c r="BJ56" s="20" t="s"/>
      <c r="BK56" s="20" t="s"/>
      <c r="BL56" s="20" t="s"/>
      <c r="BM56" s="20" t="s"/>
      <c r="BN56" s="21" t="s"/>
    </row>
    <row r="57" spans="1:66">
      <c r="A57" s="9">
        <v>10</v>
      </c>
      <c r="B57" s="9" t="s">
        <v>179</v>
      </c>
      <c r="C57" s="9" t="s">
        <v>77</v>
      </c>
      <c r="D57" s="9" t="s">
        <v>177</v>
      </c>
      <c r="E57" s="9" t="s">
        <v>68</v>
      </c>
      <c r="F57" s="9" t="s">
        <v>69</v>
      </c>
      <c r="G57" s="9" t="s">
        <v>77</v>
      </c>
      <c r="I57" s="9" t="s">
        <v>78</v>
      </c>
      <c r="J57" s="9" t="s">
        <v>71</v>
      </c>
      <c r="K57" s="9" t="s">
        <v>77</v>
      </c>
      <c r="L57" s="9" t="s">
        <v>72</v>
      </c>
      <c r="M57" s="10">
        <f>=IF($D57=配置调整!$A$5,VLOOKUP($K57,配置调整!$B$4:$O$29,6,0)*配置调整!$A$6,IF($D57=配置调整!$A$8,VLOOKUP($K57,配置调整!$B$4:$O$29,6,0)*配置调整!$A$9,IF($D57=配置调整!$A$11,VLOOKUP($K57,配置调整!$B$4:$O$29,6,0)*配置调整!$A$12,FALSE)))</f>
        <v>869345390.680024</v>
      </c>
      <c r="N57" s="10">
        <f>=M57</f>
        <v>869345390.680024</v>
      </c>
      <c r="O57" s="9">
        <v>0</v>
      </c>
      <c r="P57" s="11">
        <f>=M57</f>
        <v>869345390.680024</v>
      </c>
      <c r="Q57" s="10">
        <f>=M57</f>
        <v>869345390.680024</v>
      </c>
      <c r="R57" s="10">
        <f>=M57</f>
        <v>869345390.680024</v>
      </c>
      <c r="S57" s="10">
        <v>0</v>
      </c>
      <c r="T57" s="12">
        <v>1</v>
      </c>
      <c r="U57" s="4">
        <f>=IF(OR(L57="标准固收类",L57="非标固收类"),$A$2,"")</f>
        <v>45657</v>
      </c>
      <c r="V57" s="4">
        <f>=IF(OR(L57="标准固收类",L57="非标固收类"),EOMONTH($A$2,12),"")</f>
        <v>46022</v>
      </c>
      <c r="W57" s="4">
        <f>=IF(OR(L57="标准固收类",L57="非标固收类"),EOMONTH($A$2,A57*12),"")</f>
        <v>49309</v>
      </c>
      <c r="X57" s="9" t="s">
        <v>73</v>
      </c>
      <c r="Y57" s="13">
        <f>=VLOOKUP(资产明细!K57,配置调整!$B$4:$C$29,2,0)</f>
        <v>0.016752</v>
      </c>
      <c r="Z57" s="9" t="s">
        <v>74</v>
      </c>
      <c r="AD57" s="10">
        <f>=P57</f>
        <v>869345390.680024</v>
      </c>
      <c r="AI57" s="14" t="s"/>
      <c r="AJ57" s="14" t="s"/>
      <c r="AK57" s="14" t="s"/>
      <c r="AL57" s="14" t="s"/>
      <c r="AM57" s="13">
        <f>=IF(OR(L57="标准固收类",L57="非标固收类"),Y57,"")</f>
        <v>0.016752</v>
      </c>
      <c r="AN57" s="18" t="s"/>
      <c r="AO57" s="17" t="s"/>
      <c r="AP57" s="17" t="s"/>
      <c r="AQ57" s="17" t="s"/>
      <c r="AR57" s="17" t="s"/>
      <c r="AS57" s="17" t="s"/>
      <c r="AT57" s="17" t="s"/>
      <c r="AU57" s="17" t="s"/>
      <c r="AV57" s="18" t="s"/>
      <c r="AW57" s="18" t="s"/>
      <c r="AX57" s="18" t="s"/>
      <c r="AY57" s="18" t="s"/>
      <c r="AZ57" s="18" t="s"/>
      <c r="BA57" s="14" t="s"/>
      <c r="BB57" s="17" t="s"/>
      <c r="BC57" s="17" t="s"/>
      <c r="BD57" s="17" t="s"/>
      <c r="BE57" s="17" t="s"/>
      <c r="BF57" s="15">
        <f>=AM57</f>
        <v>0.016752</v>
      </c>
      <c r="BG57" s="13" t="s">
        <f>=IF(OR(L57="标准固收类",L57="非标固收类"),"",MIN(Y57,2%))</f>
      </c>
      <c r="BH57" s="19">
        <v>0</v>
      </c>
      <c r="BI57" s="20">
        <v>0.85</v>
      </c>
      <c r="BJ57" s="20" t="s"/>
      <c r="BK57" s="20" t="s"/>
      <c r="BL57" s="20" t="s"/>
      <c r="BM57" s="20" t="s"/>
      <c r="BN57" s="21" t="s"/>
    </row>
    <row r="58" spans="1:66">
      <c r="A58" s="9">
        <v>20</v>
      </c>
      <c r="B58" s="9" t="s">
        <v>180</v>
      </c>
      <c r="C58" s="9" t="s">
        <v>79</v>
      </c>
      <c r="D58" s="9" t="s">
        <v>177</v>
      </c>
      <c r="E58" s="9" t="s">
        <v>68</v>
      </c>
      <c r="F58" s="9" t="s">
        <v>69</v>
      </c>
      <c r="G58" s="9" t="s">
        <v>79</v>
      </c>
      <c r="I58" s="9" t="s">
        <v>80</v>
      </c>
      <c r="J58" s="9" t="s">
        <v>71</v>
      </c>
      <c r="K58" s="9" t="s">
        <v>79</v>
      </c>
      <c r="L58" s="9" t="s">
        <v>72</v>
      </c>
      <c r="M58" s="10">
        <f>=IF($D58=配置调整!$A$5,VLOOKUP($K58,配置调整!$B$4:$O$29,6,0)*配置调整!$A$6,IF($D58=配置调整!$A$8,VLOOKUP($K58,配置调整!$B$4:$O$29,6,0)*配置调整!$A$9,IF($D58=配置调整!$A$11,VLOOKUP($K58,配置调整!$B$4:$O$29,6,0)*配置调整!$A$12,FALSE)))</f>
        <v>3801995679.48858</v>
      </c>
      <c r="N58" s="10">
        <f>=M58</f>
        <v>3801995679.48858</v>
      </c>
      <c r="O58" s="9">
        <v>0</v>
      </c>
      <c r="P58" s="11">
        <f>=M58</f>
        <v>3801995679.48858</v>
      </c>
      <c r="Q58" s="10">
        <f>=M58</f>
        <v>3801995679.48858</v>
      </c>
      <c r="R58" s="10">
        <f>=M58</f>
        <v>3801995679.48858</v>
      </c>
      <c r="S58" s="10">
        <v>0</v>
      </c>
      <c r="T58" s="12">
        <v>1</v>
      </c>
      <c r="U58" s="4">
        <f>=IF(OR(L58="标准固收类",L58="非标固收类"),$A$2,"")</f>
        <v>45657</v>
      </c>
      <c r="V58" s="4">
        <f>=IF(OR(L58="标准固收类",L58="非标固收类"),EOMONTH($A$2,12),"")</f>
        <v>46022</v>
      </c>
      <c r="W58" s="4">
        <f>=IF(OR(L58="标准固收类",L58="非标固收类"),EOMONTH($A$2,A58*12),"")</f>
        <v>52962</v>
      </c>
      <c r="X58" s="9" t="s">
        <v>73</v>
      </c>
      <c r="Y58" s="13">
        <f>=VLOOKUP(资产明细!K58,配置调整!$B$4:$C$29,2,0)</f>
        <v>0.019747</v>
      </c>
      <c r="Z58" s="9" t="s">
        <v>74</v>
      </c>
      <c r="AD58" s="10">
        <f>=P58</f>
        <v>3801995679.48858</v>
      </c>
      <c r="AI58" s="14" t="s"/>
      <c r="AJ58" s="14" t="s"/>
      <c r="AK58" s="14" t="s"/>
      <c r="AL58" s="14" t="s"/>
      <c r="AM58" s="13">
        <f>=IF(OR(L58="标准固收类",L58="非标固收类"),Y58,"")</f>
        <v>0.019747</v>
      </c>
      <c r="AN58" s="18" t="s"/>
      <c r="AO58" s="17" t="s"/>
      <c r="AP58" s="17" t="s"/>
      <c r="AQ58" s="17" t="s"/>
      <c r="AR58" s="17" t="s"/>
      <c r="AS58" s="17" t="s"/>
      <c r="AT58" s="17" t="s"/>
      <c r="AU58" s="17" t="s"/>
      <c r="AV58" s="18" t="s"/>
      <c r="AW58" s="18" t="s"/>
      <c r="AX58" s="18" t="s"/>
      <c r="AY58" s="18" t="s"/>
      <c r="AZ58" s="18" t="s"/>
      <c r="BA58" s="14" t="s"/>
      <c r="BB58" s="17" t="s"/>
      <c r="BC58" s="17" t="s"/>
      <c r="BD58" s="17" t="s"/>
      <c r="BE58" s="17" t="s"/>
      <c r="BF58" s="15">
        <f>=AM58</f>
        <v>0.019747</v>
      </c>
      <c r="BG58" s="13" t="s">
        <f>=IF(OR(L58="标准固收类",L58="非标固收类"),"",MIN(Y58,2%))</f>
      </c>
      <c r="BH58" s="19">
        <v>0</v>
      </c>
      <c r="BI58" s="20">
        <v>0.85</v>
      </c>
      <c r="BJ58" s="20" t="s"/>
      <c r="BK58" s="20" t="s"/>
      <c r="BL58" s="20" t="s"/>
      <c r="BM58" s="20" t="s"/>
      <c r="BN58" s="21" t="s"/>
    </row>
    <row r="59" spans="1:66">
      <c r="A59" s="9">
        <v>50</v>
      </c>
      <c r="B59" s="9" t="s">
        <v>181</v>
      </c>
      <c r="C59" s="9" t="s">
        <v>81</v>
      </c>
      <c r="D59" s="9" t="s">
        <v>177</v>
      </c>
      <c r="E59" s="9" t="s">
        <v>68</v>
      </c>
      <c r="F59" s="9" t="s">
        <v>69</v>
      </c>
      <c r="G59" s="9" t="s">
        <v>81</v>
      </c>
      <c r="I59" s="9" t="s">
        <v>82</v>
      </c>
      <c r="J59" s="9" t="s">
        <v>71</v>
      </c>
      <c r="K59" s="9" t="s">
        <v>81</v>
      </c>
      <c r="L59" s="9" t="s">
        <v>72</v>
      </c>
      <c r="M59" s="10">
        <f>=IF($D59=配置调整!$A$5,VLOOKUP($K59,配置调整!$B$4:$O$29,6,0)*配置调整!$A$6,IF($D59=配置调整!$A$8,VLOOKUP($K59,配置调整!$B$4:$O$29,6,0)*配置调整!$A$9,IF($D59=配置调整!$A$11,VLOOKUP($K59,配置调整!$B$4:$O$29,6,0)*配置调整!$A$12,FALSE)))</f>
        <v>5514830274.8757</v>
      </c>
      <c r="N59" s="10">
        <f>=M59</f>
        <v>5514830274.8757</v>
      </c>
      <c r="O59" s="9">
        <v>0</v>
      </c>
      <c r="P59" s="11">
        <f>=M59</f>
        <v>5514830274.8757</v>
      </c>
      <c r="Q59" s="10">
        <f>=M59</f>
        <v>5514830274.8757</v>
      </c>
      <c r="R59" s="10">
        <f>=M59</f>
        <v>5514830274.8757</v>
      </c>
      <c r="S59" s="10">
        <v>0</v>
      </c>
      <c r="T59" s="12">
        <v>1</v>
      </c>
      <c r="U59" s="4">
        <f>=IF(OR(L59="标准固收类",L59="非标固收类"),$A$2,"")</f>
        <v>45657</v>
      </c>
      <c r="V59" s="4">
        <f>=IF(OR(L59="标准固收类",L59="非标固收类"),EOMONTH($A$2,12),"")</f>
        <v>46022</v>
      </c>
      <c r="W59" s="4">
        <f>=IF(OR(L59="标准固收类",L59="非标固收类"),EOMONTH($A$2,A59*12),"")</f>
        <v>63919</v>
      </c>
      <c r="X59" s="9" t="s">
        <v>73</v>
      </c>
      <c r="Y59" s="13">
        <f>=VLOOKUP(资产明细!K59,配置调整!$B$4:$C$29,2,0)</f>
        <v>0.019875</v>
      </c>
      <c r="Z59" s="9" t="s">
        <v>74</v>
      </c>
      <c r="AD59" s="10">
        <f>=P59</f>
        <v>5514830274.8757</v>
      </c>
      <c r="AI59" s="14" t="s"/>
      <c r="AJ59" s="14" t="s"/>
      <c r="AK59" s="14" t="s"/>
      <c r="AL59" s="14" t="s"/>
      <c r="AM59" s="13">
        <f>=IF(OR(L59="标准固收类",L59="非标固收类"),Y59,"")</f>
        <v>0.019875</v>
      </c>
      <c r="AN59" s="18" t="s"/>
      <c r="AO59" s="17" t="s"/>
      <c r="AP59" s="17" t="s"/>
      <c r="AQ59" s="17" t="s"/>
      <c r="AR59" s="17" t="s"/>
      <c r="AS59" s="17" t="s"/>
      <c r="AT59" s="17" t="s"/>
      <c r="AU59" s="17" t="s"/>
      <c r="AV59" s="18" t="s"/>
      <c r="AW59" s="18" t="s"/>
      <c r="AX59" s="18" t="s"/>
      <c r="AY59" s="18" t="s"/>
      <c r="AZ59" s="18" t="s"/>
      <c r="BA59" s="14" t="s"/>
      <c r="BB59" s="17" t="s"/>
      <c r="BC59" s="17" t="s"/>
      <c r="BD59" s="17" t="s"/>
      <c r="BE59" s="17" t="s"/>
      <c r="BF59" s="15">
        <f>=AM59</f>
        <v>0.019875</v>
      </c>
      <c r="BG59" s="13" t="s">
        <f>=IF(OR(L59="标准固收类",L59="非标固收类"),"",MIN(Y59,2%))</f>
      </c>
      <c r="BH59" s="19">
        <v>0</v>
      </c>
      <c r="BI59" s="20">
        <v>0.85</v>
      </c>
      <c r="BJ59" s="20" t="s"/>
      <c r="BK59" s="20" t="s"/>
      <c r="BL59" s="20" t="s"/>
      <c r="BM59" s="20" t="s"/>
      <c r="BN59" s="21" t="s"/>
    </row>
    <row r="60" spans="1:66">
      <c r="A60" s="9">
        <v>3</v>
      </c>
      <c r="B60" s="9" t="s">
        <v>182</v>
      </c>
      <c r="C60" s="22" t="s">
        <v>83</v>
      </c>
      <c r="D60" s="9" t="s">
        <v>177</v>
      </c>
      <c r="E60" s="9" t="s">
        <v>68</v>
      </c>
      <c r="F60" s="22" t="s">
        <v>84</v>
      </c>
      <c r="G60" s="9" t="s">
        <v>83</v>
      </c>
      <c r="H60" s="22" t="s"/>
      <c r="I60" s="9" t="s">
        <v>85</v>
      </c>
      <c r="J60" s="9" t="s">
        <v>71</v>
      </c>
      <c r="K60" s="22" t="s">
        <v>86</v>
      </c>
      <c r="L60" s="9" t="s">
        <v>72</v>
      </c>
      <c r="M60" s="10">
        <f>=IF($D60=配置调整!$A$5,VLOOKUP($K60,配置调整!$B$4:$O$29,6,0)*配置调整!$A$6,IF($D60=配置调整!$A$8,VLOOKUP($K60,配置调整!$B$4:$O$29,6,0)*配置调整!$A$9,IF($D60=配置调整!$A$11,VLOOKUP($K60,配置调整!$B$4:$O$29,6,0)*配置调整!$A$12,FALSE)))</f>
        <v>1818525684.45735</v>
      </c>
      <c r="N60" s="10">
        <f>=M60</f>
        <v>1818525684.45735</v>
      </c>
      <c r="O60" s="9">
        <v>0</v>
      </c>
      <c r="P60" s="11">
        <f>=M60</f>
        <v>1818525684.45735</v>
      </c>
      <c r="Q60" s="10">
        <f>=M60</f>
        <v>1818525684.45735</v>
      </c>
      <c r="R60" s="10">
        <f>=M60</f>
        <v>1818525684.45735</v>
      </c>
      <c r="S60" s="10">
        <v>0</v>
      </c>
      <c r="T60" s="12">
        <v>1</v>
      </c>
      <c r="U60" s="4">
        <f>=IF(OR(L60="标准固收类",L60="非标固收类"),$A$2,"")</f>
        <v>45657</v>
      </c>
      <c r="V60" s="4">
        <f>=IF(OR(L60="标准固收类",L60="非标固收类"),EOMONTH($A$2,12),"")</f>
        <v>46022</v>
      </c>
      <c r="W60" s="4">
        <f>=IF(OR(L60="标准固收类",L60="非标固收类"),EOMONTH($A$2,A60*12),"")</f>
        <v>46752</v>
      </c>
      <c r="X60" s="9" t="s">
        <v>73</v>
      </c>
      <c r="Y60" s="13">
        <f>=VLOOKUP(资产明细!K60,配置调整!$B$4:$C$29,2,0)</f>
        <v>0.017501</v>
      </c>
      <c r="Z60" s="9" t="s">
        <v>74</v>
      </c>
      <c r="AA60" s="22" t="s">
        <v>87</v>
      </c>
      <c r="AB60" s="22" t="s"/>
      <c r="AC60" s="22" t="s"/>
      <c r="AD60" s="10">
        <f>=P60</f>
        <v>1818525684.45735</v>
      </c>
      <c r="AE60" s="23" t="s"/>
      <c r="AF60" s="23" t="s"/>
      <c r="AG60" s="23" t="s"/>
      <c r="AH60" s="23" t="s"/>
      <c r="AI60" s="4" t="s"/>
      <c r="AJ60" s="4" t="s"/>
      <c r="AK60" s="4" t="s"/>
      <c r="AL60" s="4" t="s"/>
      <c r="AM60" s="13">
        <f>=IF(OR(L60="标准固收类",L60="非标固收类"),Y60,"")</f>
        <v>0.017501</v>
      </c>
      <c r="AN60" s="13" t="s"/>
      <c r="AO60" s="28" t="s"/>
      <c r="BA60" s="4" t="s"/>
      <c r="BF60" s="15">
        <f>=AM60</f>
        <v>0.017501</v>
      </c>
      <c r="BG60" s="13" t="s">
        <f>=IF(OR(L60="标准固收类",L60="非标固收类"),"",MIN(Y60,2%))</f>
      </c>
      <c r="BH60" s="29">
        <v>0</v>
      </c>
      <c r="BI60" s="20">
        <v>0.85</v>
      </c>
      <c r="BJ60" s="30" t="s"/>
      <c r="BK60" s="30" t="s"/>
      <c r="BL60" s="30" t="s"/>
      <c r="BM60" s="30" t="s"/>
      <c r="BN60" s="30" t="s"/>
    </row>
    <row r="61" spans="1:66">
      <c r="A61" s="9">
        <v>5</v>
      </c>
      <c r="B61" s="9" t="s">
        <v>183</v>
      </c>
      <c r="C61" s="22" t="s">
        <v>88</v>
      </c>
      <c r="D61" s="9" t="s">
        <v>177</v>
      </c>
      <c r="E61" s="9" t="s">
        <v>68</v>
      </c>
      <c r="F61" s="22" t="s">
        <v>84</v>
      </c>
      <c r="G61" s="9" t="s">
        <v>88</v>
      </c>
      <c r="H61" s="22" t="s"/>
      <c r="I61" s="9" t="s">
        <v>89</v>
      </c>
      <c r="J61" s="9" t="s">
        <v>71</v>
      </c>
      <c r="K61" s="22" t="s">
        <v>90</v>
      </c>
      <c r="L61" s="9" t="s">
        <v>72</v>
      </c>
      <c r="M61" s="10">
        <f>=IF($D61=配置调整!$A$5,VLOOKUP($K61,配置调整!$B$4:$O$29,6,0)*配置调整!$A$6,IF($D61=配置调整!$A$8,VLOOKUP($K61,配置调整!$B$4:$O$29,6,0)*配置调整!$A$9,IF($D61=配置调整!$A$11,VLOOKUP($K61,配置调整!$B$4:$O$29,6,0)*配置调整!$A$12,FALSE)))</f>
        <v>159929564.263821</v>
      </c>
      <c r="N61" s="10">
        <f>=M61</f>
        <v>159929564.263821</v>
      </c>
      <c r="O61" s="9">
        <v>0</v>
      </c>
      <c r="P61" s="11">
        <f>=M61</f>
        <v>159929564.263821</v>
      </c>
      <c r="Q61" s="10">
        <f>=M61</f>
        <v>159929564.263821</v>
      </c>
      <c r="R61" s="10">
        <f>=M61</f>
        <v>159929564.263821</v>
      </c>
      <c r="S61" s="10">
        <v>0</v>
      </c>
      <c r="T61" s="12">
        <v>1</v>
      </c>
      <c r="U61" s="4">
        <f>=IF(OR(L61="标准固收类",L61="非标固收类"),$A$2,"")</f>
        <v>45657</v>
      </c>
      <c r="V61" s="4">
        <f>=IF(OR(L61="标准固收类",L61="非标固收类"),EOMONTH($A$2,12),"")</f>
        <v>46022</v>
      </c>
      <c r="W61" s="4">
        <f>=IF(OR(L61="标准固收类",L61="非标固收类"),EOMONTH($A$2,A61*12),"")</f>
        <v>47483</v>
      </c>
      <c r="X61" s="9" t="s">
        <v>73</v>
      </c>
      <c r="Y61" s="13">
        <f>=VLOOKUP(资产明细!K61,配置调整!$B$4:$C$29,2,0)</f>
        <v>0.018727</v>
      </c>
      <c r="Z61" s="9" t="s">
        <v>74</v>
      </c>
      <c r="AA61" s="22" t="s">
        <v>91</v>
      </c>
      <c r="AB61" s="22" t="s"/>
      <c r="AC61" s="22" t="s"/>
      <c r="AD61" s="10">
        <f>=P61</f>
        <v>159929564.263821</v>
      </c>
      <c r="AE61" s="23" t="s"/>
      <c r="AF61" s="23" t="s"/>
      <c r="AG61" s="23" t="s"/>
      <c r="AH61" s="23" t="s"/>
      <c r="AI61" s="4" t="s"/>
      <c r="AJ61" s="4" t="s"/>
      <c r="AK61" s="4" t="s"/>
      <c r="AL61" s="4" t="s"/>
      <c r="AM61" s="13">
        <f>=IF(OR(L61="标准固收类",L61="非标固收类"),Y61,"")</f>
        <v>0.018727</v>
      </c>
      <c r="BA61" s="4" t="s"/>
      <c r="BF61" s="15">
        <f>=AM61</f>
        <v>0.018727</v>
      </c>
      <c r="BG61" s="13" t="s">
        <f>=IF(OR(L61="标准固收类",L61="非标固收类"),"",MIN(Y61,2%))</f>
      </c>
      <c r="BH61" s="29">
        <v>0</v>
      </c>
      <c r="BI61" s="20">
        <v>0.85</v>
      </c>
      <c r="BJ61" s="30" t="s"/>
      <c r="BK61" s="30" t="s"/>
      <c r="BL61" s="30" t="s"/>
      <c r="BM61" s="30" t="s"/>
      <c r="BN61" s="30" t="s"/>
    </row>
    <row r="62" spans="1:66">
      <c r="A62" s="9">
        <v>10</v>
      </c>
      <c r="B62" s="9" t="s">
        <v>184</v>
      </c>
      <c r="C62" s="22" t="s">
        <v>92</v>
      </c>
      <c r="D62" s="9" t="s">
        <v>177</v>
      </c>
      <c r="E62" s="9" t="s">
        <v>68</v>
      </c>
      <c r="F62" s="22" t="s">
        <v>84</v>
      </c>
      <c r="G62" s="9" t="s">
        <v>92</v>
      </c>
      <c r="H62" s="22" t="s"/>
      <c r="I62" s="9" t="s">
        <v>93</v>
      </c>
      <c r="J62" s="9" t="s">
        <v>71</v>
      </c>
      <c r="K62" s="22" t="s">
        <v>94</v>
      </c>
      <c r="L62" s="9" t="s">
        <v>72</v>
      </c>
      <c r="M62" s="10">
        <f>=IF($D62=配置调整!$A$5,VLOOKUP($K62,配置调整!$B$4:$O$29,6,0)*配置调整!$A$6,IF($D62=配置调整!$A$8,VLOOKUP($K62,配置调整!$B$4:$O$29,6,0)*配置调整!$A$9,IF($D62=配置调整!$A$11,VLOOKUP($K62,配置调整!$B$4:$O$29,6,0)*配置调整!$A$12,FALSE)))</f>
        <v>1046949778.91308</v>
      </c>
      <c r="N62" s="10">
        <f>=M62</f>
        <v>1046949778.91308</v>
      </c>
      <c r="O62" s="9">
        <v>0</v>
      </c>
      <c r="P62" s="11">
        <f>=M62</f>
        <v>1046949778.91308</v>
      </c>
      <c r="Q62" s="10">
        <f>=M62</f>
        <v>1046949778.91308</v>
      </c>
      <c r="R62" s="10">
        <f>=M62</f>
        <v>1046949778.91308</v>
      </c>
      <c r="S62" s="10">
        <v>0</v>
      </c>
      <c r="T62" s="12">
        <v>1</v>
      </c>
      <c r="U62" s="4">
        <f>=IF(OR(L62="标准固收类",L62="非标固收类"),$A$2,"")</f>
        <v>45657</v>
      </c>
      <c r="V62" s="4">
        <f>=IF(OR(L62="标准固收类",L62="非标固收类"),EOMONTH($A$2,12),"")</f>
        <v>46022</v>
      </c>
      <c r="W62" s="4">
        <f>=IF(OR(L62="标准固收类",L62="非标固收类"),EOMONTH($A$2,A62*12),"")</f>
        <v>49309</v>
      </c>
      <c r="X62" s="9" t="s">
        <v>73</v>
      </c>
      <c r="Y62" s="13">
        <f>=VLOOKUP(资产明细!K62,配置调整!$B$4:$C$29,2,0)</f>
        <v>0.021173</v>
      </c>
      <c r="Z62" s="9" t="s">
        <v>74</v>
      </c>
      <c r="AA62" s="22" t="s">
        <v>91</v>
      </c>
      <c r="AB62" s="22" t="s"/>
      <c r="AC62" s="22" t="s"/>
      <c r="AD62" s="10">
        <f>=P62</f>
        <v>1046949778.91308</v>
      </c>
      <c r="AE62" s="23" t="s"/>
      <c r="AF62" s="23" t="s"/>
      <c r="AG62" s="23" t="s"/>
      <c r="AH62" s="23" t="s"/>
      <c r="AI62" s="4" t="s"/>
      <c r="AJ62" s="4" t="s"/>
      <c r="AK62" s="4" t="s"/>
      <c r="AL62" s="4" t="s"/>
      <c r="AM62" s="13">
        <f>=IF(OR(L62="标准固收类",L62="非标固收类"),Y62,"")</f>
        <v>0.021173</v>
      </c>
      <c r="BA62" s="4" t="s"/>
      <c r="BF62" s="15">
        <f>=AM62</f>
        <v>0.021173</v>
      </c>
      <c r="BG62" s="13" t="s">
        <f>=IF(OR(L62="标准固收类",L62="非标固收类"),"",MIN(Y62,2%))</f>
      </c>
      <c r="BH62" s="29">
        <v>0</v>
      </c>
      <c r="BI62" s="20">
        <v>0.85</v>
      </c>
      <c r="BJ62" s="30" t="s"/>
      <c r="BK62" s="30" t="s"/>
      <c r="BL62" s="30" t="s"/>
      <c r="BM62" s="30" t="s"/>
      <c r="BN62" s="30" t="s"/>
    </row>
    <row r="63" spans="1:66">
      <c r="A63" s="9">
        <v>3</v>
      </c>
      <c r="B63" s="9" t="s">
        <v>185</v>
      </c>
      <c r="C63" s="22" t="s">
        <v>95</v>
      </c>
      <c r="D63" s="9" t="s">
        <v>177</v>
      </c>
      <c r="E63" s="9" t="s">
        <v>68</v>
      </c>
      <c r="F63" s="22" t="s">
        <v>96</v>
      </c>
      <c r="G63" s="9" t="s">
        <v>95</v>
      </c>
      <c r="H63" s="22" t="s"/>
      <c r="I63" s="9" t="s">
        <v>97</v>
      </c>
      <c r="J63" s="9" t="s">
        <v>71</v>
      </c>
      <c r="K63" s="22" t="s">
        <v>95</v>
      </c>
      <c r="L63" s="22" t="s">
        <v>98</v>
      </c>
      <c r="M63" s="10">
        <f>=IF($D63=配置调整!$A$5,VLOOKUP($K63,配置调整!$B$4:$O$29,6,0)*配置调整!$A$6,IF($D63=配置调整!$A$8,VLOOKUP($K63,配置调整!$B$4:$O$29,6,0)*配置调整!$A$9,IF($D63=配置调整!$A$11,VLOOKUP($K63,配置调整!$B$4:$O$29,6,0)*配置调整!$A$12,FALSE)))</f>
        <v>767567316.604065</v>
      </c>
      <c r="N63" s="10">
        <f>=M63</f>
        <v>767567316.604065</v>
      </c>
      <c r="O63" s="9">
        <v>0</v>
      </c>
      <c r="P63" s="11">
        <f>=M63</f>
        <v>767567316.604065</v>
      </c>
      <c r="Q63" s="10">
        <f>=M63</f>
        <v>767567316.604065</v>
      </c>
      <c r="R63" s="10">
        <f>=M63</f>
        <v>767567316.604065</v>
      </c>
      <c r="S63" s="10">
        <v>0</v>
      </c>
      <c r="T63" s="12">
        <v>1</v>
      </c>
      <c r="U63" s="4">
        <f>=IF(OR(L63="标准固收类",L63="非标固收类"),$A$2,"")</f>
        <v>45657</v>
      </c>
      <c r="V63" s="4">
        <f>=IF(OR(L63="标准固收类",L63="非标固收类"),EOMONTH($A$2,12),"")</f>
        <v>46022</v>
      </c>
      <c r="W63" s="4">
        <f>=IF(OR(L63="标准固收类",L63="非标固收类"),EOMONTH($A$2,A63*12),"")</f>
        <v>46752</v>
      </c>
      <c r="X63" s="9" t="s">
        <v>73</v>
      </c>
      <c r="Y63" s="13">
        <f>=VLOOKUP(资产明细!K63,配置调整!$B$4:$C$29,2,0)</f>
        <v>0.0242903222785211</v>
      </c>
      <c r="Z63" s="9" t="s">
        <v>74</v>
      </c>
      <c r="AA63" s="22" t="s">
        <v>91</v>
      </c>
      <c r="AB63" s="22" t="s">
        <v>99</v>
      </c>
      <c r="AC63" s="22" t="s"/>
      <c r="AD63" s="10">
        <f>=P63</f>
        <v>767567316.604065</v>
      </c>
      <c r="AE63" s="23" t="s"/>
      <c r="AF63" s="23" t="s"/>
      <c r="AG63" s="23" t="s"/>
      <c r="AH63" s="23" t="s"/>
      <c r="AI63" s="4" t="s"/>
      <c r="AJ63" s="4" t="s"/>
      <c r="AK63" s="4" t="s"/>
      <c r="AL63" s="4" t="s"/>
      <c r="AM63" s="13">
        <f>=IF(OR(L63="标准固收类",L63="非标固收类"),Y63,"")</f>
        <v>0.0242903222785211</v>
      </c>
      <c r="AN63" s="13" t="s"/>
      <c r="AO63" s="28" t="s"/>
      <c r="BA63" s="4" t="s"/>
      <c r="BF63" s="15">
        <f>=AM63</f>
        <v>0.0242903222785211</v>
      </c>
      <c r="BG63" s="13" t="s">
        <f>=IF(OR(L63="标准固收类",L63="非标固收类"),"",MIN(Y63,2%))</f>
      </c>
      <c r="BH63" s="29">
        <v>0</v>
      </c>
      <c r="BI63" s="20">
        <v>0.85</v>
      </c>
      <c r="BJ63" s="30" t="s"/>
      <c r="BK63" s="30" t="s"/>
      <c r="BL63" s="30" t="s"/>
      <c r="BM63" s="30" t="s"/>
      <c r="BN63" s="30" t="s"/>
    </row>
    <row r="64" spans="1:66">
      <c r="A64" s="9">
        <v>5</v>
      </c>
      <c r="B64" s="9" t="s">
        <v>186</v>
      </c>
      <c r="C64" s="22" t="s">
        <v>100</v>
      </c>
      <c r="D64" s="9" t="s">
        <v>177</v>
      </c>
      <c r="E64" s="9" t="s">
        <v>68</v>
      </c>
      <c r="F64" s="22" t="s">
        <v>96</v>
      </c>
      <c r="G64" s="9" t="s">
        <v>100</v>
      </c>
      <c r="H64" s="22" t="s"/>
      <c r="I64" s="9" t="s">
        <v>101</v>
      </c>
      <c r="J64" s="9" t="s">
        <v>71</v>
      </c>
      <c r="K64" s="22" t="s">
        <v>100</v>
      </c>
      <c r="L64" s="22" t="s">
        <v>98</v>
      </c>
      <c r="M64" s="10">
        <f>=IF($D64=配置调整!$A$5,VLOOKUP($K64,配置调整!$B$4:$O$29,6,0)*配置调整!$A$6,IF($D64=配置调整!$A$8,VLOOKUP($K64,配置调整!$B$4:$O$29,6,0)*配置调整!$A$9,IF($D64=配置调整!$A$11,VLOOKUP($K64,配置调整!$B$4:$O$29,6,0)*配置调整!$A$12,FALSE)))</f>
        <v>502980861.918676</v>
      </c>
      <c r="N64" s="10">
        <f>=M64</f>
        <v>502980861.918676</v>
      </c>
      <c r="O64" s="9">
        <v>0</v>
      </c>
      <c r="P64" s="11">
        <f>=M64</f>
        <v>502980861.918676</v>
      </c>
      <c r="Q64" s="10">
        <f>=M64</f>
        <v>502980861.918676</v>
      </c>
      <c r="R64" s="10">
        <f>=M64</f>
        <v>502980861.918676</v>
      </c>
      <c r="S64" s="10">
        <v>0</v>
      </c>
      <c r="T64" s="12">
        <v>1</v>
      </c>
      <c r="U64" s="4">
        <f>=IF(OR(L64="标准固收类",L64="非标固收类"),$A$2,"")</f>
        <v>45657</v>
      </c>
      <c r="V64" s="4">
        <f>=IF(OR(L64="标准固收类",L64="非标固收类"),EOMONTH($A$2,12),"")</f>
        <v>46022</v>
      </c>
      <c r="W64" s="4">
        <f>=IF(OR(L64="标准固收类",L64="非标固收类"),EOMONTH($A$2,A64*12),"")</f>
        <v>47483</v>
      </c>
      <c r="X64" s="9" t="s">
        <v>73</v>
      </c>
      <c r="Y64" s="13">
        <f>=VLOOKUP(资产明细!K64,配置调整!$B$4:$C$29,2,0)</f>
        <v>0.0256290353580812</v>
      </c>
      <c r="Z64" s="9" t="s">
        <v>74</v>
      </c>
      <c r="AA64" s="22" t="s">
        <v>91</v>
      </c>
      <c r="AB64" s="22" t="s">
        <v>102</v>
      </c>
      <c r="AC64" s="22" t="s"/>
      <c r="AD64" s="10">
        <f>=P64</f>
        <v>502980861.918676</v>
      </c>
      <c r="AE64" s="23" t="s"/>
      <c r="AF64" s="23" t="s"/>
      <c r="AG64" s="23" t="s"/>
      <c r="AH64" s="23" t="s"/>
      <c r="AI64" s="4" t="s"/>
      <c r="AJ64" s="4" t="s"/>
      <c r="AK64" s="4" t="s"/>
      <c r="AL64" s="4" t="s"/>
      <c r="AM64" s="13">
        <f>=IF(OR(L64="标准固收类",L64="非标固收类"),Y64,"")</f>
        <v>0.0256290353580812</v>
      </c>
      <c r="AN64" s="13" t="s"/>
      <c r="AO64" s="28" t="s"/>
      <c r="BA64" s="4" t="s"/>
      <c r="BF64" s="15">
        <f>=AM64</f>
        <v>0.0256290353580812</v>
      </c>
      <c r="BG64" s="13" t="s">
        <f>=IF(OR(L64="标准固收类",L64="非标固收类"),"",MIN(Y64,2%))</f>
      </c>
      <c r="BH64" s="29">
        <v>0</v>
      </c>
      <c r="BI64" s="20">
        <v>0.85</v>
      </c>
      <c r="BJ64" s="30" t="s"/>
      <c r="BK64" s="30" t="s"/>
      <c r="BL64" s="30" t="s"/>
      <c r="BM64" s="30" t="s"/>
      <c r="BN64" s="30" t="s"/>
    </row>
    <row r="65" spans="2:66">
      <c r="B65" s="9" t="s">
        <v>187</v>
      </c>
      <c r="C65" s="22" t="s">
        <v>103</v>
      </c>
      <c r="D65" s="9" t="s">
        <v>177</v>
      </c>
      <c r="E65" s="22" t="s">
        <v>104</v>
      </c>
      <c r="F65" s="22" t="s">
        <v>105</v>
      </c>
      <c r="G65" s="9" t="s">
        <v>103</v>
      </c>
      <c r="H65" s="22" t="s"/>
      <c r="I65" s="9" t="s">
        <v>106</v>
      </c>
      <c r="J65" s="9" t="s">
        <v>71</v>
      </c>
      <c r="K65" s="22" t="s">
        <v>103</v>
      </c>
      <c r="L65" s="22" t="s">
        <v>104</v>
      </c>
      <c r="M65" s="10">
        <f>=IF($D65=配置调整!$A$5,VLOOKUP($K65,配置调整!$B$4:$O$29,6,0)*配置调整!$A$6,IF($D65=配置调整!$A$8,VLOOKUP($K65,配置调整!$B$4:$O$29,6,0)*配置调整!$A$9,IF($D65=配置调整!$A$11,VLOOKUP($K65,配置调整!$B$4:$O$29,6,0)*配置调整!$A$12,FALSE)))</f>
        <v>267518.4312424</v>
      </c>
      <c r="N65" s="10">
        <f>=M65</f>
        <v>267518.4312424</v>
      </c>
      <c r="O65" s="9">
        <v>0</v>
      </c>
      <c r="P65" s="11">
        <f>=M65</f>
        <v>267518.4312424</v>
      </c>
      <c r="Q65" s="10">
        <f>=M65</f>
        <v>267518.4312424</v>
      </c>
      <c r="R65" s="10">
        <f>=M65</f>
        <v>267518.4312424</v>
      </c>
      <c r="S65" s="10">
        <v>0</v>
      </c>
      <c r="T65" s="22" t="s"/>
      <c r="U65" s="4" t="s">
        <f>=IF(OR(L65="标准固收类",L65="非标固收类"),$A$2,"")</f>
      </c>
      <c r="V65" s="4" t="s">
        <f>=IF(OR(L65="标准固收类",L65="非标固收类"),EOMONTH($A$2,12),"")</f>
      </c>
      <c r="W65" s="4" t="s">
        <f>=IF(OR(L65="标准固收类",L65="非标固收类"),EOMONTH($A$2,A65*12),"")</f>
      </c>
      <c r="X65" s="22" t="s"/>
      <c r="Y65" s="13">
        <f>=VLOOKUP(资产明细!K65,配置调整!$B$4:$C$29,2,0)</f>
        <v>0.06</v>
      </c>
      <c r="Z65" s="9" t="s">
        <v>74</v>
      </c>
      <c r="AA65" s="22" t="s"/>
      <c r="AB65" s="22" t="s"/>
      <c r="AC65" s="22" t="s">
        <v>107</v>
      </c>
      <c r="AD65" s="10">
        <f>=P65</f>
        <v>267518.4312424</v>
      </c>
      <c r="AE65" s="23" t="s"/>
      <c r="AF65" s="23" t="s"/>
      <c r="AG65" s="23" t="s"/>
      <c r="AH65" s="23" t="s"/>
      <c r="AI65" s="4" t="s"/>
      <c r="AJ65" s="4" t="s"/>
      <c r="AK65" s="4" t="s"/>
      <c r="AL65" s="4" t="s"/>
      <c r="AM65" s="13" t="s">
        <f>=IF(OR(L65="标准固收类",L65="非标固收类"),Y65,"")</f>
      </c>
      <c r="BA65" s="4" t="s"/>
      <c r="BF65" s="15" t="s">
        <f>=AM65</f>
      </c>
      <c r="BG65" s="13">
        <f>=IF(OR(L65="标准固收类",L65="非标固收类"),"",MIN(Y65,2%))</f>
        <v>0.02</v>
      </c>
      <c r="BH65" s="29">
        <v>0</v>
      </c>
      <c r="BI65" s="20">
        <v>0.85</v>
      </c>
      <c r="BJ65" s="30" t="s"/>
      <c r="BK65" s="30" t="s"/>
      <c r="BL65" s="30" t="s"/>
      <c r="BM65" s="30" t="s"/>
      <c r="BN65" s="30" t="s"/>
    </row>
    <row r="66" spans="2:66">
      <c r="B66" s="9" t="s">
        <v>188</v>
      </c>
      <c r="C66" s="22" t="s">
        <v>108</v>
      </c>
      <c r="D66" s="9" t="s">
        <v>177</v>
      </c>
      <c r="E66" s="22" t="s">
        <v>104</v>
      </c>
      <c r="F66" s="22" t="s">
        <v>105</v>
      </c>
      <c r="G66" s="9" t="s">
        <v>108</v>
      </c>
      <c r="H66" s="22" t="s"/>
      <c r="I66" s="9" t="s">
        <v>109</v>
      </c>
      <c r="J66" s="9" t="s">
        <v>71</v>
      </c>
      <c r="K66" s="22" t="s">
        <v>108</v>
      </c>
      <c r="L66" s="22" t="s">
        <v>104</v>
      </c>
      <c r="M66" s="10">
        <f>=IF($D66=配置调整!$A$5,VLOOKUP($K66,配置调整!$B$4:$O$29,6,0)*配置调整!$A$6,IF($D66=配置调整!$A$8,VLOOKUP($K66,配置调整!$B$4:$O$29,6,0)*配置调整!$A$9,IF($D66=配置调整!$A$11,VLOOKUP($K66,配置调整!$B$4:$O$29,6,0)*配置调整!$A$12,FALSE)))</f>
        <v>90343544.8844248</v>
      </c>
      <c r="N66" s="10">
        <f>=M66</f>
        <v>90343544.8844248</v>
      </c>
      <c r="O66" s="9">
        <v>0</v>
      </c>
      <c r="P66" s="11">
        <f>=M66</f>
        <v>90343544.8844248</v>
      </c>
      <c r="Q66" s="10">
        <f>=M66</f>
        <v>90343544.8844248</v>
      </c>
      <c r="R66" s="10">
        <f>=M66</f>
        <v>90343544.8844248</v>
      </c>
      <c r="S66" s="10">
        <v>0</v>
      </c>
      <c r="T66" s="22" t="s"/>
      <c r="U66" s="4" t="s">
        <f>=IF(OR(L66="标准固收类",L66="非标固收类"),$A$2,"")</f>
      </c>
      <c r="V66" s="4" t="s">
        <f>=IF(OR(L66="标准固收类",L66="非标固收类"),EOMONTH($A$2,12),"")</f>
      </c>
      <c r="W66" s="4" t="s">
        <f>=IF(OR(L66="标准固收类",L66="非标固收类"),EOMONTH($A$2,A66*12),"")</f>
      </c>
      <c r="X66" s="22" t="s"/>
      <c r="Y66" s="13">
        <f>=VLOOKUP(资产明细!K66,配置调整!$B$4:$C$29,2,0)</f>
        <v>0.07</v>
      </c>
      <c r="Z66" s="9" t="s">
        <v>74</v>
      </c>
      <c r="AA66" s="22" t="s"/>
      <c r="AB66" s="22" t="s"/>
      <c r="AC66" s="22" t="s">
        <v>110</v>
      </c>
      <c r="AD66" s="10">
        <f>=P66</f>
        <v>90343544.8844248</v>
      </c>
      <c r="AE66" s="23" t="s"/>
      <c r="AF66" s="23" t="s"/>
      <c r="AG66" s="23" t="s"/>
      <c r="AH66" s="23" t="s"/>
      <c r="AI66" s="4" t="s"/>
      <c r="AJ66" s="4" t="s"/>
      <c r="AK66" s="4" t="s"/>
      <c r="AL66" s="4" t="s"/>
      <c r="AM66" s="13" t="s">
        <f>=IF(OR(L66="标准固收类",L66="非标固收类"),Y66,"")</f>
      </c>
      <c r="AN66" s="13" t="s"/>
      <c r="AO66" s="28" t="s"/>
      <c r="BA66" s="4" t="s"/>
      <c r="BF66" s="15" t="s">
        <f>=AM66</f>
      </c>
      <c r="BG66" s="13">
        <f>=IF(OR(L66="标准固收类",L66="非标固收类"),"",MIN(Y66,2%))</f>
        <v>0.02</v>
      </c>
      <c r="BH66" s="29">
        <v>0</v>
      </c>
      <c r="BI66" s="20">
        <v>0.85</v>
      </c>
      <c r="BJ66" s="30" t="s"/>
      <c r="BK66" s="30" t="s"/>
      <c r="BL66" s="30" t="s"/>
      <c r="BM66" s="30" t="s"/>
      <c r="BN66" s="30" t="s"/>
    </row>
    <row r="67" spans="2:66">
      <c r="B67" s="9" t="s">
        <v>189</v>
      </c>
      <c r="C67" s="22" t="s">
        <v>111</v>
      </c>
      <c r="D67" s="9" t="s">
        <v>177</v>
      </c>
      <c r="E67" s="22" t="s">
        <v>104</v>
      </c>
      <c r="F67" s="22" t="s">
        <v>105</v>
      </c>
      <c r="G67" s="9" t="s">
        <v>111</v>
      </c>
      <c r="H67" s="22" t="s"/>
      <c r="I67" s="9" t="s">
        <v>112</v>
      </c>
      <c r="J67" s="9" t="s">
        <v>71</v>
      </c>
      <c r="K67" s="22" t="s">
        <v>111</v>
      </c>
      <c r="L67" s="22" t="s">
        <v>104</v>
      </c>
      <c r="M67" s="10">
        <f>=IF($D67=配置调整!$A$5,VLOOKUP($K67,配置调整!$B$4:$O$29,6,0)*配置调整!$A$6,IF($D67=配置调整!$A$8,VLOOKUP($K67,配置调整!$B$4:$O$29,6,0)*配置调整!$A$9,IF($D67=配置调整!$A$11,VLOOKUP($K67,配置调整!$B$4:$O$29,6,0)*配置调整!$A$12,FALSE)))</f>
        <v>127216359.472888</v>
      </c>
      <c r="N67" s="10">
        <f>=M67</f>
        <v>127216359.472888</v>
      </c>
      <c r="O67" s="9">
        <v>0</v>
      </c>
      <c r="P67" s="11">
        <f>=M67</f>
        <v>127216359.472888</v>
      </c>
      <c r="Q67" s="10">
        <f>=M67</f>
        <v>127216359.472888</v>
      </c>
      <c r="R67" s="10">
        <f>=M67</f>
        <v>127216359.472888</v>
      </c>
      <c r="S67" s="10">
        <v>0</v>
      </c>
      <c r="T67" s="22" t="s"/>
      <c r="U67" s="4" t="s">
        <f>=IF(OR(L67="标准固收类",L67="非标固收类"),$A$2,"")</f>
      </c>
      <c r="V67" s="4" t="s">
        <f>=IF(OR(L67="标准固收类",L67="非标固收类"),EOMONTH($A$2,12),"")</f>
      </c>
      <c r="W67" s="4" t="s">
        <f>=IF(OR(L67="标准固收类",L67="非标固收类"),EOMONTH($A$2,A67*12),"")</f>
      </c>
      <c r="X67" s="22" t="s"/>
      <c r="Y67" s="13">
        <f>=VLOOKUP(资产明细!K67,配置调整!$B$4:$C$29,2,0)</f>
        <v>0.08</v>
      </c>
      <c r="Z67" s="9" t="s">
        <v>74</v>
      </c>
      <c r="AA67" s="22" t="s"/>
      <c r="AB67" s="22" t="s"/>
      <c r="AC67" s="22" t="s">
        <v>113</v>
      </c>
      <c r="AD67" s="10">
        <f>=P67</f>
        <v>127216359.472888</v>
      </c>
      <c r="AE67" s="23" t="s"/>
      <c r="AF67" s="23" t="s"/>
      <c r="AG67" s="23" t="s"/>
      <c r="AH67" s="23" t="s"/>
      <c r="AI67" s="4" t="s"/>
      <c r="AJ67" s="4" t="s"/>
      <c r="AK67" s="4" t="s"/>
      <c r="AL67" s="4" t="s"/>
      <c r="AM67" s="13" t="s">
        <f>=IF(OR(L67="标准固收类",L67="非标固收类"),Y67,"")</f>
      </c>
      <c r="AN67" s="13" t="s"/>
      <c r="AO67" s="28" t="s"/>
      <c r="BA67" s="4" t="s"/>
      <c r="BF67" s="15" t="s">
        <f>=AM67</f>
      </c>
      <c r="BG67" s="13">
        <f>=IF(OR(L67="标准固收类",L67="非标固收类"),"",MIN(Y67,2%))</f>
        <v>0.02</v>
      </c>
      <c r="BH67" s="29">
        <v>0</v>
      </c>
      <c r="BI67" s="20">
        <v>0.85</v>
      </c>
      <c r="BJ67" s="30" t="s"/>
      <c r="BK67" s="30" t="s"/>
      <c r="BL67" s="30" t="s"/>
      <c r="BM67" s="30" t="s"/>
      <c r="BN67" s="30" t="s"/>
    </row>
    <row r="68" spans="2:66">
      <c r="B68" s="9" t="s">
        <v>190</v>
      </c>
      <c r="C68" s="22" t="s">
        <v>114</v>
      </c>
      <c r="D68" s="9" t="s">
        <v>177</v>
      </c>
      <c r="E68" s="22" t="s">
        <v>104</v>
      </c>
      <c r="F68" s="22" t="s">
        <v>105</v>
      </c>
      <c r="G68" s="9" t="s">
        <v>114</v>
      </c>
      <c r="H68" s="22" t="s"/>
      <c r="I68" s="9" t="s">
        <v>115</v>
      </c>
      <c r="J68" s="9" t="s">
        <v>71</v>
      </c>
      <c r="K68" s="22" t="s">
        <v>114</v>
      </c>
      <c r="L68" s="22" t="s">
        <v>104</v>
      </c>
      <c r="M68" s="10">
        <f>=IF($D68=配置调整!$A$5,VLOOKUP($K68,配置调整!$B$4:$O$29,6,0)*配置调整!$A$6,IF($D68=配置调整!$A$8,VLOOKUP($K68,配置调整!$B$4:$O$29,6,0)*配置调整!$A$9,IF($D68=配置调整!$A$11,VLOOKUP($K68,配置调整!$B$4:$O$29,6,0)*配置调整!$A$12,FALSE)))</f>
        <v>678895237.760136</v>
      </c>
      <c r="N68" s="10">
        <f>=M68</f>
        <v>678895237.760136</v>
      </c>
      <c r="O68" s="9">
        <v>0</v>
      </c>
      <c r="P68" s="11">
        <f>=M68</f>
        <v>678895237.760136</v>
      </c>
      <c r="Q68" s="10">
        <f>=M68</f>
        <v>678895237.760136</v>
      </c>
      <c r="R68" s="10">
        <f>=M68</f>
        <v>678895237.760136</v>
      </c>
      <c r="S68" s="10">
        <v>0</v>
      </c>
      <c r="T68" s="22" t="s"/>
      <c r="U68" s="4" t="s">
        <f>=IF(OR(L68="标准固收类",L68="非标固收类"),$A$2,"")</f>
      </c>
      <c r="V68" s="4" t="s">
        <f>=IF(OR(L68="标准固收类",L68="非标固收类"),EOMONTH($A$2,12),"")</f>
      </c>
      <c r="W68" s="4" t="s">
        <f>=IF(OR(L68="标准固收类",L68="非标固收类"),EOMONTH($A$2,A68*12),"")</f>
      </c>
      <c r="X68" s="22" t="s"/>
      <c r="Y68" s="13">
        <f>=VLOOKUP(资产明细!K68,配置调整!$B$4:$C$29,2,0)</f>
        <v>0.085</v>
      </c>
      <c r="Z68" s="9" t="s">
        <v>74</v>
      </c>
      <c r="AA68" s="22" t="s"/>
      <c r="AB68" s="22" t="s"/>
      <c r="AC68" s="22" t="s">
        <v>116</v>
      </c>
      <c r="AD68" s="10">
        <f>=P68</f>
        <v>678895237.760136</v>
      </c>
      <c r="AE68" s="23" t="s"/>
      <c r="AF68" s="23" t="s"/>
      <c r="AG68" s="23" t="s"/>
      <c r="AH68" s="23" t="s"/>
      <c r="AI68" s="4" t="s"/>
      <c r="AJ68" s="4" t="s"/>
      <c r="AK68" s="4" t="s"/>
      <c r="AL68" s="4" t="s"/>
      <c r="AM68" s="13" t="s">
        <f>=IF(OR(L68="标准固收类",L68="非标固收类"),Y68,"")</f>
      </c>
      <c r="BA68" s="4" t="s"/>
      <c r="BF68" s="15" t="s">
        <f>=AM68</f>
      </c>
      <c r="BG68" s="13">
        <f>=IF(OR(L68="标准固收类",L68="非标固收类"),"",MIN(Y68,2%))</f>
        <v>0.02</v>
      </c>
      <c r="BH68" s="29">
        <v>0</v>
      </c>
      <c r="BI68" s="20">
        <v>0.85</v>
      </c>
      <c r="BJ68" s="30" t="s"/>
      <c r="BK68" s="30" t="s"/>
      <c r="BL68" s="30" t="s"/>
      <c r="BM68" s="30" t="s"/>
      <c r="BN68" s="30" t="s"/>
    </row>
    <row r="69" spans="2:66">
      <c r="B69" s="9" t="s">
        <v>191</v>
      </c>
      <c r="C69" s="22" t="s">
        <v>117</v>
      </c>
      <c r="D69" s="9" t="s">
        <v>177</v>
      </c>
      <c r="E69" s="22" t="s">
        <v>104</v>
      </c>
      <c r="F69" s="22" t="s">
        <v>117</v>
      </c>
      <c r="G69" s="9" t="s">
        <v>117</v>
      </c>
      <c r="H69" s="22" t="s"/>
      <c r="I69" s="9" t="s">
        <v>118</v>
      </c>
      <c r="J69" s="9" t="s">
        <v>71</v>
      </c>
      <c r="K69" s="22" t="s">
        <v>117</v>
      </c>
      <c r="L69" s="22" t="s">
        <v>104</v>
      </c>
      <c r="M69" s="10">
        <f>=IF($D69=配置调整!$A$5,VLOOKUP($K69,配置调整!$B$4:$O$29,6,0)*配置调整!$A$6,IF($D69=配置调整!$A$8,VLOOKUP($K69,配置调整!$B$4:$O$29,6,0)*配置调整!$A$9,IF($D69=配置调整!$A$11,VLOOKUP($K69,配置调整!$B$4:$O$29,6,0)*配置调整!$A$12,FALSE)))</f>
        <v>267518.4312424</v>
      </c>
      <c r="N69" s="10">
        <f>=M69</f>
        <v>267518.4312424</v>
      </c>
      <c r="O69" s="9">
        <v>0</v>
      </c>
      <c r="P69" s="11">
        <f>=M69</f>
        <v>267518.4312424</v>
      </c>
      <c r="Q69" s="10">
        <f>=M69</f>
        <v>267518.4312424</v>
      </c>
      <c r="R69" s="10">
        <f>=M69</f>
        <v>267518.4312424</v>
      </c>
      <c r="S69" s="10">
        <v>0</v>
      </c>
      <c r="T69" s="22" t="s"/>
      <c r="U69" s="4" t="s">
        <f>=IF(OR(L69="标准固收类",L69="非标固收类"),$A$2,"")</f>
      </c>
      <c r="V69" s="4" t="s">
        <f>=IF(OR(L69="标准固收类",L69="非标固收类"),EOMONTH($A$2,12),"")</f>
      </c>
      <c r="W69" s="4" t="s">
        <f>=IF(OR(L69="标准固收类",L69="非标固收类"),EOMONTH($A$2,A69*12),"")</f>
      </c>
      <c r="X69" s="22" t="s"/>
      <c r="Y69" s="13">
        <f>=VLOOKUP(资产明细!K69,配置调整!$B$4:$C$29,2,0)</f>
        <v>0.0284872877927068</v>
      </c>
      <c r="Z69" s="9" t="s">
        <v>74</v>
      </c>
      <c r="AA69" s="22" t="s"/>
      <c r="AB69" s="22" t="s"/>
      <c r="AC69" s="22" t="s">
        <v>119</v>
      </c>
      <c r="AD69" s="10">
        <f>=P69</f>
        <v>267518.4312424</v>
      </c>
      <c r="AE69" s="23" t="s"/>
      <c r="AF69" s="23" t="s"/>
      <c r="AG69" s="23" t="s"/>
      <c r="AH69" s="23" t="s"/>
      <c r="AI69" s="4" t="s"/>
      <c r="AJ69" s="4" t="s"/>
      <c r="AK69" s="4" t="s"/>
      <c r="AL69" s="4" t="s"/>
      <c r="AM69" s="13" t="s">
        <f>=IF(OR(L69="标准固收类",L69="非标固收类"),Y69,"")</f>
      </c>
      <c r="AN69" s="13" t="s"/>
      <c r="AO69" s="28" t="s"/>
      <c r="BA69" s="4" t="s"/>
      <c r="BF69" s="15" t="s">
        <f>=AM69</f>
      </c>
      <c r="BG69" s="13">
        <f>=IF(OR(L69="标准固收类",L69="非标固收类"),"",MIN(Y69,2%))</f>
        <v>0.02</v>
      </c>
      <c r="BH69" s="29">
        <v>0</v>
      </c>
      <c r="BI69" s="20">
        <v>0.85</v>
      </c>
      <c r="BJ69" s="30" t="s"/>
      <c r="BK69" s="30" t="s"/>
      <c r="BL69" s="30" t="s"/>
      <c r="BM69" s="30" t="s"/>
      <c r="BN69" s="30" t="s"/>
    </row>
    <row r="70" spans="2:66">
      <c r="B70" s="9" t="s">
        <v>192</v>
      </c>
      <c r="C70" s="22" t="s">
        <v>120</v>
      </c>
      <c r="D70" s="9" t="s">
        <v>177</v>
      </c>
      <c r="E70" s="22" t="s">
        <v>104</v>
      </c>
      <c r="F70" s="22" t="s">
        <v>120</v>
      </c>
      <c r="G70" s="9" t="s">
        <v>120</v>
      </c>
      <c r="H70" s="22" t="s"/>
      <c r="I70" s="9" t="s">
        <v>121</v>
      </c>
      <c r="J70" s="9" t="s">
        <v>71</v>
      </c>
      <c r="K70" s="22" t="s">
        <v>120</v>
      </c>
      <c r="L70" s="22" t="s">
        <v>104</v>
      </c>
      <c r="M70" s="10">
        <f>=IF($D70=配置调整!$A$5,VLOOKUP($K70,配置调整!$B$4:$O$29,6,0)*配置调整!$A$6,IF($D70=配置调整!$A$8,VLOOKUP($K70,配置调整!$B$4:$O$29,6,0)*配置调整!$A$9,IF($D70=配置调整!$A$11,VLOOKUP($K70,配置调整!$B$4:$O$29,6,0)*配置调整!$A$12,FALSE)))</f>
        <v>267518.4312424</v>
      </c>
      <c r="N70" s="10">
        <f>=M70</f>
        <v>267518.4312424</v>
      </c>
      <c r="O70" s="9">
        <v>0</v>
      </c>
      <c r="P70" s="11">
        <f>=M70</f>
        <v>267518.4312424</v>
      </c>
      <c r="Q70" s="10">
        <f>=M70</f>
        <v>267518.4312424</v>
      </c>
      <c r="R70" s="10">
        <f>=M70</f>
        <v>267518.4312424</v>
      </c>
      <c r="S70" s="10">
        <v>0</v>
      </c>
      <c r="T70" s="22" t="s"/>
      <c r="U70" s="4" t="s">
        <f>=IF(OR(L70="标准固收类",L70="非标固收类"),$A$2,"")</f>
      </c>
      <c r="V70" s="4" t="s">
        <f>=IF(OR(L70="标准固收类",L70="非标固收类"),EOMONTH($A$2,12),"")</f>
      </c>
      <c r="W70" s="4" t="s">
        <f>=IF(OR(L70="标准固收类",L70="非标固收类"),EOMONTH($A$2,A70*12),"")</f>
      </c>
      <c r="X70" s="22" t="s"/>
      <c r="Y70" s="13">
        <f>=VLOOKUP(资产明细!K70,配置调整!$B$4:$C$29,2,0)</f>
        <v>0.015</v>
      </c>
      <c r="Z70" s="9" t="s">
        <v>74</v>
      </c>
      <c r="AA70" s="22" t="s"/>
      <c r="AB70" s="22" t="s"/>
      <c r="AC70" s="22" t="s">
        <v>122</v>
      </c>
      <c r="AD70" s="10">
        <f>=P70</f>
        <v>267518.4312424</v>
      </c>
      <c r="AE70" s="23" t="s"/>
      <c r="AF70" s="23" t="s"/>
      <c r="AG70" s="23" t="s"/>
      <c r="AH70" s="23" t="s"/>
      <c r="AI70" s="4" t="s"/>
      <c r="AJ70" s="4" t="s"/>
      <c r="AK70" s="4" t="s"/>
      <c r="AL70" s="4" t="s"/>
      <c r="AM70" s="13" t="s">
        <f>=IF(OR(L70="标准固收类",L70="非标固收类"),Y70,"")</f>
      </c>
      <c r="BA70" s="4" t="s"/>
      <c r="BF70" s="15" t="s">
        <f>=AM70</f>
      </c>
      <c r="BG70" s="13">
        <f>=IF(OR(L70="标准固收类",L70="非标固收类"),"",MIN(Y70,2%))</f>
        <v>0.015</v>
      </c>
      <c r="BH70" s="29">
        <v>0</v>
      </c>
      <c r="BI70" s="20">
        <v>0.85</v>
      </c>
      <c r="BJ70" s="30" t="s"/>
      <c r="BK70" s="30" t="s"/>
      <c r="BL70" s="30" t="s"/>
      <c r="BM70" s="30" t="s"/>
      <c r="BN70" s="30" t="s"/>
    </row>
    <row r="71" spans="2:66">
      <c r="B71" s="9" t="s">
        <v>193</v>
      </c>
      <c r="C71" s="22" t="s">
        <v>123</v>
      </c>
      <c r="D71" s="9" t="s">
        <v>177</v>
      </c>
      <c r="E71" s="22" t="s">
        <v>104</v>
      </c>
      <c r="F71" s="22" t="s">
        <v>123</v>
      </c>
      <c r="G71" s="9" t="s">
        <v>123</v>
      </c>
      <c r="H71" s="22" t="s"/>
      <c r="I71" s="9" t="s">
        <v>124</v>
      </c>
      <c r="J71" s="9" t="s">
        <v>71</v>
      </c>
      <c r="K71" s="22" t="s">
        <v>123</v>
      </c>
      <c r="L71" s="22" t="s">
        <v>104</v>
      </c>
      <c r="M71" s="10">
        <f>=IF($D71=配置调整!$A$5,VLOOKUP($K71,配置调整!$B$4:$O$29,6,0)*配置调整!$A$6,IF($D71=配置调整!$A$8,VLOOKUP($K71,配置调整!$B$4:$O$29,6,0)*配置调整!$A$9,IF($D71=配置调整!$A$11,VLOOKUP($K71,配置调整!$B$4:$O$29,6,0)*配置调整!$A$12,FALSE)))</f>
        <v>287615673.393965</v>
      </c>
      <c r="N71" s="10">
        <f>=M71</f>
        <v>287615673.393965</v>
      </c>
      <c r="O71" s="9">
        <v>0</v>
      </c>
      <c r="P71" s="11">
        <f>=M71</f>
        <v>287615673.393965</v>
      </c>
      <c r="Q71" s="10">
        <f>=M71</f>
        <v>287615673.393965</v>
      </c>
      <c r="R71" s="10">
        <f>=M71</f>
        <v>287615673.393965</v>
      </c>
      <c r="S71" s="10">
        <v>0</v>
      </c>
      <c r="T71" s="22" t="s"/>
      <c r="U71" s="4" t="s">
        <f>=IF(OR(L71="标准固收类",L71="非标固收类"),$A$2,"")</f>
      </c>
      <c r="V71" s="4" t="s">
        <f>=IF(OR(L71="标准固收类",L71="非标固收类"),EOMONTH($A$2,12),"")</f>
      </c>
      <c r="W71" s="4" t="s">
        <f>=IF(OR(L71="标准固收类",L71="非标固收类"),EOMONTH($A$2,A71*12),"")</f>
      </c>
      <c r="X71" s="22" t="s"/>
      <c r="Y71" s="13">
        <f>=VLOOKUP(资产明细!K71,配置调整!$B$4:$C$29,2,0)</f>
        <v>0.05</v>
      </c>
      <c r="Z71" s="9" t="s">
        <v>74</v>
      </c>
      <c r="AA71" s="22" t="s"/>
      <c r="AB71" s="22" t="s"/>
      <c r="AC71" s="22" t="s">
        <v>125</v>
      </c>
      <c r="AD71" s="10">
        <f>=P71</f>
        <v>287615673.393965</v>
      </c>
      <c r="AE71" s="23" t="s"/>
      <c r="AF71" s="23" t="s"/>
      <c r="AG71" s="23" t="s"/>
      <c r="AH71" s="23" t="s"/>
      <c r="AI71" s="4" t="s"/>
      <c r="AJ71" s="4" t="s"/>
      <c r="AK71" s="4" t="s"/>
      <c r="AL71" s="4" t="s"/>
      <c r="AM71" s="13" t="s">
        <f>=IF(OR(L71="标准固收类",L71="非标固收类"),Y71,"")</f>
      </c>
      <c r="BA71" s="4" t="s"/>
      <c r="BF71" s="15" t="s">
        <f>=AM71</f>
      </c>
      <c r="BG71" s="13">
        <f>=IF(OR(L71="标准固收类",L71="非标固收类"),"",MIN(Y71,2%))</f>
        <v>0.02</v>
      </c>
      <c r="BH71" s="29">
        <v>0</v>
      </c>
      <c r="BI71" s="20">
        <v>0.85</v>
      </c>
      <c r="BJ71" s="30" t="s"/>
      <c r="BK71" s="30" t="s"/>
      <c r="BL71" s="30" t="s"/>
      <c r="BM71" s="30" t="s"/>
      <c r="BN71" s="30" t="s"/>
    </row>
    <row r="72" spans="2:66">
      <c r="B72" s="9" t="s">
        <v>194</v>
      </c>
      <c r="C72" s="22" t="s">
        <v>126</v>
      </c>
      <c r="D72" s="9" t="s">
        <v>177</v>
      </c>
      <c r="E72" s="22" t="s">
        <v>104</v>
      </c>
      <c r="F72" s="22" t="s">
        <v>126</v>
      </c>
      <c r="G72" s="9" t="s">
        <v>126</v>
      </c>
      <c r="H72" s="22" t="s"/>
      <c r="I72" s="9" t="s">
        <v>127</v>
      </c>
      <c r="J72" s="9" t="s">
        <v>71</v>
      </c>
      <c r="K72" s="22" t="s">
        <v>126</v>
      </c>
      <c r="L72" s="22" t="s">
        <v>104</v>
      </c>
      <c r="M72" s="10">
        <f>=IF($D72=配置调整!$A$5,VLOOKUP($K72,配置调整!$B$4:$O$29,6,0)*配置调整!$A$6,IF($D72=配置调整!$A$8,VLOOKUP($K72,配置调整!$B$4:$O$29,6,0)*配置调整!$A$9,IF($D72=配置调整!$A$11,VLOOKUP($K72,配置调整!$B$4:$O$29,6,0)*配置调整!$A$12,FALSE)))</f>
        <v>267518.4312424</v>
      </c>
      <c r="N72" s="10">
        <f>=M72</f>
        <v>267518.4312424</v>
      </c>
      <c r="O72" s="9">
        <v>0</v>
      </c>
      <c r="P72" s="11">
        <f>=M72</f>
        <v>267518.4312424</v>
      </c>
      <c r="Q72" s="10">
        <f>=M72</f>
        <v>267518.4312424</v>
      </c>
      <c r="R72" s="10">
        <f>=M72</f>
        <v>267518.4312424</v>
      </c>
      <c r="S72" s="10">
        <v>0</v>
      </c>
      <c r="T72" s="22" t="s"/>
      <c r="U72" s="4" t="s">
        <f>=IF(OR(L72="标准固收类",L72="非标固收类"),$A$2,"")</f>
      </c>
      <c r="V72" s="4" t="s">
        <f>=IF(OR(L72="标准固收类",L72="非标固收类"),EOMONTH($A$2,12),"")</f>
      </c>
      <c r="W72" s="4" t="s">
        <f>=IF(OR(L72="标准固收类",L72="非标固收类"),EOMONTH($A$2,A72*12),"")</f>
      </c>
      <c r="X72" s="22" t="s"/>
      <c r="Y72" s="13">
        <f>=VLOOKUP(资产明细!K72,配置调整!$B$4:$C$29,2,0)</f>
        <v>0.055</v>
      </c>
      <c r="Z72" s="9" t="s">
        <v>74</v>
      </c>
      <c r="AA72" s="22" t="s"/>
      <c r="AB72" s="22" t="s"/>
      <c r="AC72" s="22" t="s">
        <v>128</v>
      </c>
      <c r="AD72" s="10">
        <f>=P72</f>
        <v>267518.4312424</v>
      </c>
      <c r="AE72" s="23" t="s"/>
      <c r="AF72" s="23" t="s"/>
      <c r="AG72" s="23" t="s"/>
      <c r="AH72" s="23" t="s"/>
      <c r="AI72" s="4" t="s"/>
      <c r="AJ72" s="4" t="s"/>
      <c r="AK72" s="4" t="s"/>
      <c r="AL72" s="4" t="s"/>
      <c r="AM72" s="13" t="s">
        <f>=IF(OR(L72="标准固收类",L72="非标固收类"),Y72,"")</f>
      </c>
      <c r="BA72" s="4" t="s"/>
      <c r="BF72" s="15" t="s">
        <f>=AM72</f>
      </c>
      <c r="BG72" s="26">
        <v>0.0854460618629241</v>
      </c>
      <c r="BH72" s="29">
        <v>0</v>
      </c>
      <c r="BI72" s="20">
        <v>0.85</v>
      </c>
      <c r="BJ72" s="30" t="s"/>
      <c r="BK72" s="30" t="s"/>
      <c r="BL72" s="30" t="s"/>
      <c r="BM72" s="30" t="s"/>
      <c r="BN72" s="30" t="s"/>
    </row>
    <row r="73" spans="2:66">
      <c r="B73" s="9" t="s">
        <v>195</v>
      </c>
      <c r="C73" s="22" t="s">
        <v>129</v>
      </c>
      <c r="D73" s="9" t="s">
        <v>177</v>
      </c>
      <c r="E73" s="22" t="s">
        <v>104</v>
      </c>
      <c r="F73" s="22" t="s">
        <v>129</v>
      </c>
      <c r="G73" s="9" t="s">
        <v>129</v>
      </c>
      <c r="H73" s="22" t="s"/>
      <c r="I73" s="9" t="s">
        <v>130</v>
      </c>
      <c r="J73" s="9" t="s">
        <v>71</v>
      </c>
      <c r="K73" s="22" t="s">
        <v>129</v>
      </c>
      <c r="L73" s="22" t="s">
        <v>104</v>
      </c>
      <c r="M73" s="10">
        <f>=IF($D73=配置调整!$A$5,VLOOKUP($K73,配置调整!$B$4:$O$29,6,0)*配置调整!$A$6,IF($D73=配置调整!$A$8,VLOOKUP($K73,配置调整!$B$4:$O$29,6,0)*配置调整!$A$9,IF($D73=配置调整!$A$11,VLOOKUP($K73,配置调整!$B$4:$O$29,6,0)*配置调整!$A$12,FALSE)))</f>
        <v>267518.4312424</v>
      </c>
      <c r="N73" s="10">
        <f>=M73</f>
        <v>267518.4312424</v>
      </c>
      <c r="O73" s="9">
        <v>0</v>
      </c>
      <c r="P73" s="11">
        <f>=M73</f>
        <v>267518.4312424</v>
      </c>
      <c r="Q73" s="10">
        <f>=M73</f>
        <v>267518.4312424</v>
      </c>
      <c r="R73" s="10">
        <f>=M73</f>
        <v>267518.4312424</v>
      </c>
      <c r="S73" s="10">
        <v>0</v>
      </c>
      <c r="T73" s="22" t="s"/>
      <c r="U73" s="4" t="s">
        <f>=IF(OR(L73="标准固收类",L73="非标固收类"),$A$2,"")</f>
      </c>
      <c r="V73" s="4" t="s">
        <f>=IF(OR(L73="标准固收类",L73="非标固收类"),EOMONTH($A$2,12),"")</f>
      </c>
      <c r="W73" s="4" t="s">
        <f>=IF(OR(L73="标准固收类",L73="非标固收类"),EOMONTH($A$2,A73*12),"")</f>
      </c>
      <c r="X73" s="22" t="s"/>
      <c r="Y73" s="13">
        <f>=VLOOKUP(资产明细!K73,配置调整!$B$4:$C$29,2,0)</f>
        <v>0.043</v>
      </c>
      <c r="Z73" s="9" t="s">
        <v>74</v>
      </c>
      <c r="AA73" s="22" t="s"/>
      <c r="AB73" s="22" t="s"/>
      <c r="AC73" s="22" t="s">
        <v>131</v>
      </c>
      <c r="AD73" s="10">
        <f>=P73</f>
        <v>267518.4312424</v>
      </c>
      <c r="AE73" s="23" t="s"/>
      <c r="AF73" s="23" t="s"/>
      <c r="AG73" s="23" t="s"/>
      <c r="AH73" s="23" t="s"/>
      <c r="AI73" s="4" t="s"/>
      <c r="AJ73" s="4" t="s"/>
      <c r="AK73" s="4" t="s"/>
      <c r="AL73" s="4" t="s"/>
      <c r="AM73" s="13" t="s">
        <f>=IF(OR(L73="标准固收类",L73="非标固收类"),Y73,"")</f>
      </c>
      <c r="AN73" s="13" t="s"/>
      <c r="AO73" s="28" t="s"/>
      <c r="BA73" s="4" t="s"/>
      <c r="BF73" s="15" t="s">
        <f>=AM73</f>
      </c>
      <c r="BG73" s="13">
        <f>=IF(OR(L73="标准固收类",L73="非标固收类"),"",MIN(Y73,2%))</f>
        <v>0.02</v>
      </c>
      <c r="BH73" s="29">
        <v>0</v>
      </c>
      <c r="BI73" s="20">
        <v>0.85</v>
      </c>
      <c r="BJ73" s="30" t="s"/>
      <c r="BK73" s="30" t="s"/>
      <c r="BL73" s="30" t="s"/>
      <c r="BM73" s="30" t="s"/>
      <c r="BN73" s="30" t="s"/>
    </row>
    <row r="74" spans="2:66">
      <c r="B74" s="9" t="s">
        <v>196</v>
      </c>
      <c r="C74" s="22" t="s">
        <v>132</v>
      </c>
      <c r="D74" s="9" t="s">
        <v>177</v>
      </c>
      <c r="E74" s="22" t="s">
        <v>104</v>
      </c>
      <c r="F74" s="22" t="s">
        <v>133</v>
      </c>
      <c r="G74" s="9" t="s">
        <v>132</v>
      </c>
      <c r="H74" s="22" t="s"/>
      <c r="I74" s="9" t="s">
        <v>134</v>
      </c>
      <c r="J74" s="9" t="s">
        <v>71</v>
      </c>
      <c r="K74" s="22" t="s">
        <v>132</v>
      </c>
      <c r="L74" s="22" t="s">
        <v>104</v>
      </c>
      <c r="M74" s="10">
        <f>=IF($D74=配置调整!$A$5,VLOOKUP($K74,配置调整!$B$4:$O$29,6,0)*配置调整!$A$6,IF($D74=配置调整!$A$8,VLOOKUP($K74,配置调整!$B$4:$O$29,6,0)*配置调整!$A$9,IF($D74=配置调整!$A$11,VLOOKUP($K74,配置调整!$B$4:$O$29,6,0)*配置调整!$A$12,FALSE)))</f>
        <v>267518.4312424</v>
      </c>
      <c r="N74" s="10">
        <f>=M74</f>
        <v>267518.4312424</v>
      </c>
      <c r="O74" s="9">
        <v>0</v>
      </c>
      <c r="P74" s="11">
        <f>=M74</f>
        <v>267518.4312424</v>
      </c>
      <c r="Q74" s="10">
        <f>=M74</f>
        <v>267518.4312424</v>
      </c>
      <c r="R74" s="10">
        <f>=M74</f>
        <v>267518.4312424</v>
      </c>
      <c r="S74" s="10">
        <v>0</v>
      </c>
      <c r="T74" s="22" t="s"/>
      <c r="U74" s="4" t="s">
        <f>=IF(OR(L74="标准固收类",L74="非标固收类"),$A$2,"")</f>
      </c>
      <c r="V74" s="4" t="s">
        <f>=IF(OR(L74="标准固收类",L74="非标固收类"),EOMONTH($A$2,12),"")</f>
      </c>
      <c r="W74" s="4" t="s">
        <f>=IF(OR(L74="标准固收类",L74="非标固收类"),EOMONTH($A$2,A74*12),"")</f>
      </c>
      <c r="X74" s="22" t="s"/>
      <c r="Y74" s="13">
        <f>=VLOOKUP(资产明细!K74,配置调整!$B$4:$C$29,2,0)</f>
        <v>0.05</v>
      </c>
      <c r="Z74" s="9" t="s">
        <v>74</v>
      </c>
      <c r="AA74" s="22" t="s"/>
      <c r="AB74" s="22" t="s"/>
      <c r="AC74" s="22" t="s">
        <v>131</v>
      </c>
      <c r="AD74" s="10">
        <f>=P74</f>
        <v>267518.4312424</v>
      </c>
      <c r="AE74" s="23" t="s"/>
      <c r="AF74" s="23" t="s"/>
      <c r="AG74" s="23" t="s"/>
      <c r="AH74" s="23" t="s"/>
      <c r="AI74" s="4" t="s"/>
      <c r="AJ74" s="4" t="s"/>
      <c r="AK74" s="4" t="s"/>
      <c r="AL74" s="4" t="s"/>
      <c r="AM74" s="13" t="s">
        <f>=IF(OR(L74="标准固收类",L74="非标固收类"),Y74,"")</f>
      </c>
      <c r="BA74" s="4" t="s"/>
      <c r="BF74" s="15" t="s">
        <f>=AM74</f>
      </c>
      <c r="BG74" s="13">
        <f>=IF(OR(L74="标准固收类",L74="非标固收类"),"",MIN(Y74,2%))</f>
        <v>0.02</v>
      </c>
      <c r="BH74" s="29">
        <v>0</v>
      </c>
      <c r="BI74" s="20">
        <v>0.85</v>
      </c>
      <c r="BJ74" s="30" t="s"/>
      <c r="BK74" s="30" t="s"/>
      <c r="BL74" s="30" t="s"/>
      <c r="BM74" s="30" t="s"/>
      <c r="BN74" s="30" t="s"/>
    </row>
    <row r="75" spans="2:66">
      <c r="B75" s="9" t="s">
        <v>197</v>
      </c>
      <c r="C75" s="22" t="s">
        <v>135</v>
      </c>
      <c r="D75" s="9" t="s">
        <v>177</v>
      </c>
      <c r="E75" s="22" t="s">
        <v>104</v>
      </c>
      <c r="F75" s="22" t="s">
        <v>133</v>
      </c>
      <c r="G75" s="9" t="s">
        <v>135</v>
      </c>
      <c r="H75" s="22" t="s"/>
      <c r="I75" s="9" t="s">
        <v>136</v>
      </c>
      <c r="J75" s="9" t="s">
        <v>71</v>
      </c>
      <c r="K75" s="22" t="s">
        <v>135</v>
      </c>
      <c r="L75" s="22" t="s">
        <v>104</v>
      </c>
      <c r="M75" s="10">
        <f>=IF($D75=配置调整!$A$5,VLOOKUP($K75,配置调整!$B$4:$O$29,6,0)*配置调整!$A$6,IF($D75=配置调整!$A$8,VLOOKUP($K75,配置调整!$B$4:$O$29,6,0)*配置调整!$A$9,IF($D75=配置调整!$A$11,VLOOKUP($K75,配置调整!$B$4:$O$29,6,0)*配置调整!$A$12,FALSE)))</f>
        <v>167452966.89966</v>
      </c>
      <c r="N75" s="10">
        <f>=M75</f>
        <v>167452966.89966</v>
      </c>
      <c r="O75" s="9">
        <v>0</v>
      </c>
      <c r="P75" s="11">
        <f>=M75</f>
        <v>167452966.89966</v>
      </c>
      <c r="Q75" s="10">
        <f>=M75</f>
        <v>167452966.89966</v>
      </c>
      <c r="R75" s="10">
        <f>=M75</f>
        <v>167452966.89966</v>
      </c>
      <c r="S75" s="10">
        <v>0</v>
      </c>
      <c r="T75" s="22" t="s"/>
      <c r="U75" s="4" t="s">
        <f>=IF(OR(L75="标准固收类",L75="非标固收类"),$A$2,"")</f>
      </c>
      <c r="V75" s="4" t="s">
        <f>=IF(OR(L75="标准固收类",L75="非标固收类"),EOMONTH($A$2,12),"")</f>
      </c>
      <c r="W75" s="4" t="s">
        <f>=IF(OR(L75="标准固收类",L75="非标固收类"),EOMONTH($A$2,A75*12),"")</f>
      </c>
      <c r="X75" s="22" t="s"/>
      <c r="Y75" s="13">
        <f>=VLOOKUP(资产明细!K75,配置调整!$B$4:$C$29,2,0)</f>
        <v>0.086</v>
      </c>
      <c r="Z75" s="9" t="s">
        <v>74</v>
      </c>
      <c r="AA75" s="22" t="s"/>
      <c r="AB75" s="22" t="s"/>
      <c r="AC75" s="22" t="s">
        <v>131</v>
      </c>
      <c r="AD75" s="10">
        <f>=P75</f>
        <v>167452966.89966</v>
      </c>
      <c r="AE75" s="23" t="s"/>
      <c r="AF75" s="23" t="s"/>
      <c r="AG75" s="23" t="s"/>
      <c r="AH75" s="23" t="s"/>
      <c r="AI75" s="4" t="s"/>
      <c r="AJ75" s="4" t="s"/>
      <c r="AK75" s="4" t="s"/>
      <c r="AL75" s="4" t="s"/>
      <c r="AM75" s="13" t="s">
        <f>=IF(OR(L75="标准固收类",L75="非标固收类"),Y75,"")</f>
      </c>
      <c r="BA75" s="4" t="s"/>
      <c r="BF75" s="15" t="s">
        <f>=AM75</f>
      </c>
      <c r="BG75" s="13">
        <f>=IF(OR(L75="标准固收类",L75="非标固收类"),"",MIN(Y75,2%))</f>
        <v>0.02</v>
      </c>
      <c r="BH75" s="29">
        <v>0</v>
      </c>
      <c r="BI75" s="20">
        <v>0.85</v>
      </c>
      <c r="BJ75" s="30" t="s"/>
      <c r="BK75" s="30" t="s"/>
      <c r="BL75" s="30" t="s"/>
      <c r="BM75" s="30" t="s"/>
      <c r="BN75" s="30" t="s"/>
    </row>
    <row r="76" spans="2:66">
      <c r="B76" s="9" t="s">
        <v>198</v>
      </c>
      <c r="C76" s="22" t="s">
        <v>137</v>
      </c>
      <c r="D76" s="9" t="s">
        <v>177</v>
      </c>
      <c r="E76" s="9" t="s">
        <v>68</v>
      </c>
      <c r="F76" s="22" t="s">
        <v>137</v>
      </c>
      <c r="G76" s="9" t="s">
        <v>137</v>
      </c>
      <c r="H76" s="22" t="s"/>
      <c r="I76" s="9" t="s">
        <v>138</v>
      </c>
      <c r="J76" s="9" t="s">
        <v>71</v>
      </c>
      <c r="K76" s="22" t="s">
        <v>137</v>
      </c>
      <c r="L76" s="22" t="s">
        <v>104</v>
      </c>
      <c r="M76" s="10">
        <f>=IF($D76=配置调整!$A$5,VLOOKUP($K76,配置调整!$B$4:$O$29,6,0)*配置调整!$A$6,IF($D76=配置调整!$A$8,VLOOKUP($K76,配置调整!$B$4:$O$29,6,0)*配置调整!$A$9,IF($D76=配置调整!$A$11,VLOOKUP($K76,配置调整!$B$4:$O$29,6,0)*配置调整!$A$12,FALSE)))</f>
        <v>2687729498.48662</v>
      </c>
      <c r="N76" s="10">
        <f>=M76</f>
        <v>2687729498.48662</v>
      </c>
      <c r="O76" s="9">
        <v>0</v>
      </c>
      <c r="P76" s="11">
        <f>=M76</f>
        <v>2687729498.48662</v>
      </c>
      <c r="Q76" s="10">
        <f>=M76</f>
        <v>2687729498.48662</v>
      </c>
      <c r="R76" s="10">
        <f>=M76</f>
        <v>2687729498.48662</v>
      </c>
      <c r="S76" s="10">
        <v>0</v>
      </c>
      <c r="T76" s="22" t="s"/>
      <c r="U76" s="4" t="s">
        <f>=IF(OR(L76="标准固收类",L76="非标固收类"),$A$2,"")</f>
      </c>
      <c r="V76" s="4" t="s">
        <f>=IF(OR(L76="标准固收类",L76="非标固收类"),EOMONTH($A$2,12),"")</f>
      </c>
      <c r="W76" s="4" t="s">
        <f>=IF(OR(L76="标准固收类",L76="非标固收类"),EOMONTH($A$2,A76*12),"")</f>
      </c>
      <c r="X76" s="22" t="s"/>
      <c r="Y76" s="13">
        <f>=VLOOKUP(资产明细!K76,配置调整!$B$4:$C$29,2,0)</f>
        <v>0.0348160404671754</v>
      </c>
      <c r="Z76" s="22" t="s">
        <v>74</v>
      </c>
      <c r="AA76" s="22" t="s"/>
      <c r="AB76" s="22" t="s"/>
      <c r="AC76" s="22" t="s">
        <v>119</v>
      </c>
      <c r="AD76" s="10">
        <f>=P76</f>
        <v>2687729498.48662</v>
      </c>
      <c r="AE76" s="23" t="s"/>
      <c r="AF76" s="23" t="s"/>
      <c r="AG76" s="23" t="s"/>
      <c r="AH76" s="23" t="s"/>
      <c r="AI76" s="4" t="s"/>
      <c r="AJ76" s="4" t="s"/>
      <c r="AK76" s="4" t="s"/>
      <c r="AL76" s="4" t="s"/>
      <c r="AM76" s="13" t="s">
        <f>=IF(OR(L76="标准固收类",L76="非标固收类"),Y76,"")</f>
      </c>
      <c r="AN76" s="13" t="s"/>
      <c r="AO76" s="28" t="s"/>
      <c r="BA76" s="4" t="s"/>
      <c r="BF76" s="15" t="s">
        <f>=AM76</f>
      </c>
      <c r="BG76" s="13">
        <f>=IF(OR(L76="标准固收类",L76="非标固收类"),"",MIN(Y76,2%))</f>
        <v>0.02</v>
      </c>
      <c r="BH76" s="29">
        <v>0</v>
      </c>
      <c r="BI76" s="20">
        <v>0.85</v>
      </c>
      <c r="BJ76" s="30" t="s"/>
      <c r="BK76" s="30" t="s"/>
      <c r="BL76" s="30" t="s"/>
      <c r="BM76" s="30" t="s"/>
      <c r="BN76" s="30" t="s"/>
    </row>
    <row r="77" spans="2:66">
      <c r="B77" s="9" t="s">
        <v>199</v>
      </c>
      <c r="C77" s="9" t="s">
        <v>139</v>
      </c>
      <c r="D77" s="9" t="s">
        <v>177</v>
      </c>
      <c r="E77" s="9" t="s">
        <v>139</v>
      </c>
      <c r="F77" s="9" t="s">
        <v>139</v>
      </c>
      <c r="G77" s="9" t="s">
        <v>139</v>
      </c>
      <c r="I77" s="9" t="s">
        <v>140</v>
      </c>
      <c r="J77" s="9" t="s">
        <v>71</v>
      </c>
      <c r="K77" s="9" t="s">
        <v>139</v>
      </c>
      <c r="L77" s="22" t="s">
        <v>139</v>
      </c>
      <c r="M77" s="10">
        <f>=IF($D77=配置调整!$A$5,VLOOKUP($K77,配置调整!$B$4:$O$29,6,0)*配置调整!$A$6,IF($D77=配置调整!$A$8,VLOOKUP($K77,配置调整!$B$4:$O$29,6,0)*配置调整!$A$9,IF($D77=配置调整!$A$11,VLOOKUP($K77,配置调整!$B$4:$O$29,6,0)*配置调整!$A$12,FALSE)))</f>
        <v>829941370.026691</v>
      </c>
      <c r="N77" s="10">
        <f>=M77</f>
        <v>829941370.026691</v>
      </c>
      <c r="O77" s="9">
        <v>0</v>
      </c>
      <c r="P77" s="11">
        <f>=M77</f>
        <v>829941370.026691</v>
      </c>
      <c r="Q77" s="10">
        <f>=M77</f>
        <v>829941370.026691</v>
      </c>
      <c r="R77" s="10">
        <f>=M77</f>
        <v>829941370.026691</v>
      </c>
      <c r="S77" s="10">
        <v>0</v>
      </c>
      <c r="T77" s="22" t="s"/>
      <c r="U77" s="4" t="s">
        <f>=IF(OR(L77="标准固收类",L77="非标固收类"),$A$2,"")</f>
      </c>
      <c r="V77" s="4" t="s">
        <f>=IF(OR(L77="标准固收类",L77="非标固收类"),EOMONTH($A$2,12),"")</f>
      </c>
      <c r="W77" s="4" t="s">
        <f>=IF(OR(L77="标准固收类",L77="非标固收类"),EOMONTH($A$2,A77*12),"")</f>
      </c>
      <c r="X77" s="22" t="s"/>
      <c r="Y77" s="13">
        <f>=VLOOKUP(资产明细!K77,配置调整!$B$4:$C$29,2,0)</f>
        <v>0.015</v>
      </c>
      <c r="Z77" s="22" t="s">
        <v>74</v>
      </c>
      <c r="AA77" s="22" t="s"/>
      <c r="AB77" s="22" t="s"/>
      <c r="AC77" s="22" t="s"/>
      <c r="AD77" s="10">
        <f>=P77</f>
        <v>829941370.026691</v>
      </c>
      <c r="AE77" s="23" t="s"/>
      <c r="AF77" s="23" t="s"/>
      <c r="AG77" s="23" t="s"/>
      <c r="AH77" s="23" t="s"/>
      <c r="AI77" s="4" t="s"/>
      <c r="AJ77" s="4" t="s"/>
      <c r="AK77" s="4" t="s"/>
      <c r="AL77" s="4" t="s"/>
      <c r="AM77" s="13" t="s">
        <f>=IF(OR(L77="标准固收类",L77="非标固收类"),Y77,"")</f>
      </c>
      <c r="AN77" s="13" t="s"/>
      <c r="AO77" s="28" t="s"/>
      <c r="BA77" s="4" t="s"/>
      <c r="BF77" s="15" t="s">
        <f>=AM77</f>
      </c>
      <c r="BG77" s="13">
        <f>=IF(OR(L77="标准固收类",L77="非标固收类"),"",MIN(Y77,2%))</f>
        <v>0.015</v>
      </c>
      <c r="BH77" s="29">
        <v>0</v>
      </c>
      <c r="BI77" s="20">
        <v>0.85</v>
      </c>
      <c r="BJ77" s="30" t="s"/>
      <c r="BK77" s="30" t="s"/>
      <c r="BL77" s="30" t="s"/>
      <c r="BM77" s="30" t="s"/>
      <c r="BN77" s="30" t="s"/>
    </row>
    <row r="78" spans="1:66">
      <c r="A78" s="9">
        <v>3</v>
      </c>
      <c r="B78" s="9" t="s">
        <v>200</v>
      </c>
      <c r="C78" s="9" t="s">
        <v>141</v>
      </c>
      <c r="D78" s="9" t="s">
        <v>177</v>
      </c>
      <c r="E78" s="9" t="s">
        <v>68</v>
      </c>
      <c r="F78" s="9" t="s">
        <v>141</v>
      </c>
      <c r="G78" s="9" t="s">
        <v>141</v>
      </c>
      <c r="I78" s="9" t="s">
        <v>142</v>
      </c>
      <c r="J78" s="9" t="s">
        <v>71</v>
      </c>
      <c r="K78" s="9" t="s">
        <v>141</v>
      </c>
      <c r="L78" s="22" t="s">
        <v>72</v>
      </c>
      <c r="M78" s="10">
        <f>=IF($D78=配置调整!$A$5,VLOOKUP($K78,配置调整!$B$4:$O$29,6,0)*配置调整!$A$6,IF($D78=配置调整!$A$8,VLOOKUP($K78,配置调整!$B$4:$O$29,6,0)*配置调整!$A$9,IF($D78=配置调整!$A$11,VLOOKUP($K78,配置调整!$B$4:$O$29,6,0)*配置调整!$A$12,FALSE)))</f>
        <v>3277308354.11947</v>
      </c>
      <c r="N78" s="10">
        <f>=M78</f>
        <v>3277308354.11947</v>
      </c>
      <c r="O78" s="9">
        <v>0</v>
      </c>
      <c r="P78" s="11">
        <f>=M78</f>
        <v>3277308354.11947</v>
      </c>
      <c r="Q78" s="10">
        <f>=M78</f>
        <v>3277308354.11947</v>
      </c>
      <c r="R78" s="10">
        <f>=M78</f>
        <v>3277308354.11947</v>
      </c>
      <c r="S78" s="10">
        <v>0</v>
      </c>
      <c r="T78" s="22">
        <v>1</v>
      </c>
      <c r="U78" s="4">
        <f>=IF(OR(L78="标准固收类",L78="非标固收类"),$A$2,"")</f>
        <v>45657</v>
      </c>
      <c r="V78" s="4">
        <f>=IF(OR(L78="标准固收类",L78="非标固收类"),EOMONTH($A$2,12),"")</f>
        <v>46022</v>
      </c>
      <c r="W78" s="4">
        <f>=IF(OR(L78="标准固收类",L78="非标固收类"),EOMONTH($A$2,A78*12),"")</f>
        <v>46752</v>
      </c>
      <c r="X78" s="22" t="s">
        <v>73</v>
      </c>
      <c r="Y78" s="13">
        <f>=VLOOKUP(资产明细!K78,配置调整!$B$4:$C$29,2,0)</f>
        <v>0.0316516641299411</v>
      </c>
      <c r="Z78" s="22" t="s">
        <v>74</v>
      </c>
      <c r="AA78" s="22" t="s">
        <v>143</v>
      </c>
      <c r="AB78" s="22" t="s"/>
      <c r="AC78" s="22" t="s"/>
      <c r="AD78" s="10">
        <f>=P78</f>
        <v>3277308354.11947</v>
      </c>
      <c r="AE78" s="23" t="s"/>
      <c r="AF78" s="23" t="s"/>
      <c r="AG78" s="23" t="s"/>
      <c r="AH78" s="23" t="s"/>
      <c r="AI78" s="4" t="s"/>
      <c r="AJ78" s="4" t="s"/>
      <c r="AK78" s="4" t="s"/>
      <c r="AL78" s="4" t="s"/>
      <c r="AM78" s="13">
        <f>=IF(OR(L78="标准固收类",L78="非标固收类"),Y78,"")</f>
        <v>0.0316516641299411</v>
      </c>
      <c r="BA78" s="4" t="s"/>
      <c r="BF78" s="15">
        <f>=AM78</f>
        <v>0.0316516641299411</v>
      </c>
      <c r="BG78" s="13" t="s">
        <f>=IF(OR(L78="标准固收类",L78="非标固收类"),"",MIN(Y78,2%))</f>
      </c>
      <c r="BH78" s="29">
        <v>0</v>
      </c>
      <c r="BI78" s="20">
        <v>0.85</v>
      </c>
      <c r="BJ78" s="30" t="s"/>
      <c r="BK78" s="30" t="s"/>
      <c r="BL78" s="30" t="s"/>
      <c r="BM78" s="30" t="s"/>
      <c r="BN78" s="30" t="s"/>
    </row>
    <row r="79" spans="1:66">
      <c r="A79" s="9">
        <v>5</v>
      </c>
      <c r="B79" s="9" t="s">
        <v>201</v>
      </c>
      <c r="C79" s="9" t="s">
        <v>144</v>
      </c>
      <c r="D79" s="9" t="s">
        <v>177</v>
      </c>
      <c r="E79" s="9" t="s">
        <v>68</v>
      </c>
      <c r="F79" s="9" t="s">
        <v>144</v>
      </c>
      <c r="G79" s="9" t="s">
        <v>144</v>
      </c>
      <c r="I79" s="9" t="s">
        <v>145</v>
      </c>
      <c r="J79" s="9" t="s">
        <v>71</v>
      </c>
      <c r="K79" s="9" t="s">
        <v>144</v>
      </c>
      <c r="L79" s="22" t="s">
        <v>72</v>
      </c>
      <c r="M79" s="10">
        <f>=IF($D79=配置调整!$A$5,VLOOKUP($K79,配置调整!$B$4:$O$29,6,0)*配置调整!$A$6,IF($D79=配置调整!$A$8,VLOOKUP($K79,配置调整!$B$4:$O$29,6,0)*配置调整!$A$9,IF($D79=配置调整!$A$11,VLOOKUP($K79,配置调整!$B$4:$O$29,6,0)*配置调整!$A$12,FALSE)))</f>
        <v>1202258409.85354</v>
      </c>
      <c r="N79" s="10">
        <f>=M79</f>
        <v>1202258409.85354</v>
      </c>
      <c r="O79" s="9">
        <v>0</v>
      </c>
      <c r="P79" s="11">
        <f>=M79</f>
        <v>1202258409.85354</v>
      </c>
      <c r="Q79" s="10">
        <f>=M79</f>
        <v>1202258409.85354</v>
      </c>
      <c r="R79" s="10">
        <f>=M79</f>
        <v>1202258409.85354</v>
      </c>
      <c r="S79" s="10">
        <v>0</v>
      </c>
      <c r="T79" s="22">
        <v>1</v>
      </c>
      <c r="U79" s="4">
        <f>=IF(OR(L79="标准固收类",L79="非标固收类"),$A$2,"")</f>
        <v>45657</v>
      </c>
      <c r="V79" s="4">
        <f>=IF(OR(L79="标准固收类",L79="非标固收类"),EOMONTH($A$2,12),"")</f>
        <v>46022</v>
      </c>
      <c r="W79" s="4">
        <f>=IF(OR(L79="标准固收类",L79="非标固收类"),EOMONTH($A$2,A79*12),"")</f>
        <v>47483</v>
      </c>
      <c r="X79" s="22" t="s">
        <v>73</v>
      </c>
      <c r="Y79" s="13">
        <f>=VLOOKUP(资产明细!K79,配置调整!$B$4:$C$29,2,0)</f>
        <v>0.028</v>
      </c>
      <c r="Z79" s="22" t="s">
        <v>74</v>
      </c>
      <c r="AA79" s="22" t="s">
        <v>87</v>
      </c>
      <c r="AB79" s="22" t="s"/>
      <c r="AC79" s="22" t="s"/>
      <c r="AD79" s="10">
        <f>=P79</f>
        <v>1202258409.85354</v>
      </c>
      <c r="AE79" s="23" t="s"/>
      <c r="AF79" s="23" t="s"/>
      <c r="AG79" s="23" t="s"/>
      <c r="AH79" s="23" t="s"/>
      <c r="AI79" s="4" t="s"/>
      <c r="AJ79" s="4" t="s"/>
      <c r="AK79" s="4" t="s"/>
      <c r="AL79" s="4" t="s"/>
      <c r="AM79" s="13">
        <f>=IF(OR(L79="标准固收类",L79="非标固收类"),Y79,"")</f>
        <v>0.028</v>
      </c>
      <c r="BA79" s="4" t="s"/>
      <c r="BF79" s="15">
        <f>=AM79</f>
        <v>0.028</v>
      </c>
      <c r="BG79" s="13" t="s">
        <f>=IF(OR(L79="标准固收类",L79="非标固收类"),"",MIN(Y79,2%))</f>
      </c>
      <c r="BH79" s="29">
        <v>0</v>
      </c>
      <c r="BI79" s="20">
        <v>0.85</v>
      </c>
      <c r="BJ79" s="30" t="s"/>
      <c r="BK79" s="30" t="s"/>
      <c r="BL79" s="30" t="s"/>
      <c r="BM79" s="30" t="s"/>
      <c r="BN79" s="30" t="s"/>
    </row>
    <row r="80" spans="2:66">
      <c r="B80" s="9" t="s">
        <v>202</v>
      </c>
      <c r="C80" s="9" t="s">
        <v>146</v>
      </c>
      <c r="D80" s="9" t="s">
        <v>177</v>
      </c>
      <c r="E80" s="9" t="s">
        <v>146</v>
      </c>
      <c r="F80" s="9" t="s">
        <v>146</v>
      </c>
      <c r="G80" s="9" t="s">
        <v>146</v>
      </c>
      <c r="I80" s="9" t="s">
        <v>147</v>
      </c>
      <c r="J80" s="9" t="s">
        <v>71</v>
      </c>
      <c r="K80" s="9" t="s">
        <v>146</v>
      </c>
      <c r="L80" s="22" t="s">
        <v>104</v>
      </c>
      <c r="M80" s="10">
        <f>=IF($D80=配置调整!$A$5,VLOOKUP($K80,配置调整!$B$4:$O$29,6,0)*配置调整!$A$6,IF($D80=配置调整!$A$8,VLOOKUP($K80,配置调整!$B$4:$O$29,6,0)*配置调整!$A$9,IF($D80=配置调整!$A$11,VLOOKUP($K80,配置调整!$B$4:$O$29,6,0)*配置调整!$A$12,FALSE)))</f>
        <v>2611991867.46325</v>
      </c>
      <c r="N80" s="10">
        <f>=M80</f>
        <v>2611991867.46325</v>
      </c>
      <c r="O80" s="9">
        <v>0</v>
      </c>
      <c r="P80" s="11">
        <f>=M80</f>
        <v>2611991867.46325</v>
      </c>
      <c r="Q80" s="10">
        <f>=M80</f>
        <v>2611991867.46325</v>
      </c>
      <c r="R80" s="10">
        <f>=M80</f>
        <v>2611991867.46325</v>
      </c>
      <c r="S80" s="10">
        <v>0</v>
      </c>
      <c r="T80" s="22" t="s"/>
      <c r="U80" s="4" t="s">
        <f>=IF(OR(L80="标准固收类",L80="非标固收类"),$A$2,"")</f>
      </c>
      <c r="V80" s="4" t="s">
        <f>=IF(OR(L80="标准固收类",L80="非标固收类"),EOMONTH($A$2,12),"")</f>
      </c>
      <c r="W80" s="4" t="s">
        <f>=IF(OR(L80="标准固收类",L80="非标固收类"),EOMONTH($A$2,A80*12),"")</f>
      </c>
      <c r="X80" s="22" t="s"/>
      <c r="Y80" s="13">
        <f>=VLOOKUP(资产明细!K80,配置调整!$B$4:$C$29,2,0)</f>
        <v>0.065</v>
      </c>
      <c r="Z80" s="22" t="s">
        <v>74</v>
      </c>
      <c r="AA80" s="22" t="s"/>
      <c r="AB80" s="22" t="s"/>
      <c r="AC80" s="22" t="s">
        <v>148</v>
      </c>
      <c r="AD80" s="10">
        <f>=P80</f>
        <v>2611991867.46325</v>
      </c>
      <c r="AE80" s="23" t="s"/>
      <c r="AF80" s="23" t="s"/>
      <c r="AG80" s="23" t="s"/>
      <c r="AH80" s="23" t="s"/>
      <c r="AI80" s="4" t="s"/>
      <c r="AJ80" s="4" t="s"/>
      <c r="AK80" s="4" t="s"/>
      <c r="AL80" s="4" t="s"/>
      <c r="AM80" s="13" t="s">
        <f>=IF(OR(L80="标准固收类",L80="非标固收类"),Y80,"")</f>
      </c>
      <c r="BA80" s="4" t="s"/>
      <c r="BF80" s="15" t="s">
        <f>=AM80</f>
      </c>
      <c r="BG80" s="13">
        <f>=IF(OR(L80="标准固收类",L80="非标固收类"),"",MIN(Y80,2%))</f>
        <v>0.02</v>
      </c>
      <c r="BH80" s="29">
        <v>0</v>
      </c>
      <c r="BI80" s="20">
        <v>0.85</v>
      </c>
      <c r="BJ80" s="30" t="s"/>
      <c r="BK80" s="30" t="s"/>
      <c r="BL80" s="30" t="s"/>
      <c r="BM80" s="30" t="s"/>
      <c r="BN80" s="30" t="s"/>
    </row>
  </sheetData>
  <conditionalFormatting sqref="M646:R646 M760:R760">
    <cfRule type="notContainsBlanks" dxfId="0" priority="1">
      <formula>LEN(TRIM(M646))&gt;0</formula>
      <formula>LEN(TRIM(M646))&gt;0</formula>
    </cfRule>
  </conditionalFormatting>
  <conditionalFormatting sqref="BF646 BF760">
    <cfRule type="notContainsBlanks" dxfId="0" priority="2">
      <formula>LEN(TRIM(BF646))&gt;0</formula>
      <formula>LEN(TRIM(BF646))&gt;0</formula>
    </cfRule>
  </conditionalFormatting>
  <conditionalFormatting sqref="B646:D646 AD646:AN646 B760:D760 AD760:AN760">
    <cfRule type="notContainsBlanks" dxfId="0" priority="3">
      <formula>LEN(TRIM(B646))&gt;0</formula>
      <formula>LEN(TRIM(B646))&gt;0</formula>
    </cfRule>
  </conditionalFormatting>
  <conditionalFormatting sqref="BA646 BA760">
    <cfRule type="notContainsBlanks" dxfId="0" priority="4">
      <formula>LEN(TRIM(BA646))&gt;0</formula>
      <formula>LEN(TRIM(BA646))&gt;0</formula>
    </cfRule>
  </conditionalFormatting>
  <conditionalFormatting sqref="AB646 AB760">
    <cfRule type="notContainsBlanks" dxfId="0" priority="5">
      <formula>LEN(TRIM(AB646))&gt;0</formula>
      <formula>LEN(TRIM(AB646))&gt;0</formula>
    </cfRule>
  </conditionalFormatting>
  <conditionalFormatting sqref="T646:W646 T760:W760">
    <cfRule type="notContainsBlanks" dxfId="0" priority="6">
      <formula>LEN(TRIM(T646))&gt;0</formula>
      <formula>LEN(TRIM(T646))&gt;0</formula>
    </cfRule>
  </conditionalFormatting>
  <conditionalFormatting sqref="J760">
    <cfRule type="notContainsBlanks" dxfId="0" priority="7">
      <formula>LEN(TRIM(J760))&gt;0</formula>
      <formula>LEN(TRIM(J760))&gt;0</formula>
    </cfRule>
  </conditionalFormatting>
  <dataValidations>
    <dataValidation type="list" operator="between" allowBlank="1" showInputMessage="1" showErrorMessage="1" sqref="H3:H59">
      <formula1>"另：卖出回购证券"</formula1>
    </dataValidation>
    <dataValidation type="list" operator="between" allowBlank="1" showInputMessage="1" showErrorMessage="1" sqref="J3:J59">
      <formula1>List!$J$34:$J$43</formula1>
    </dataValidation>
    <dataValidation type="list" operator="between" allowBlank="1" showInputMessage="1" showErrorMessage="1" sqref="L3:L59">
      <formula1>List!$H$54:$H$57</formula1>
    </dataValidation>
    <dataValidation type="list" operator="between" allowBlank="1" showInputMessage="1" showErrorMessage="1" sqref="X3:X59">
      <formula1>List!$R$14:$R$25</formula1>
    </dataValidation>
    <dataValidation type="list" operator="between" allowBlank="1" showInputMessage="1" showErrorMessage="1" sqref="AV3:AV59">
      <formula1>List!$B$3:$B$4</formula1>
    </dataValidation>
    <dataValidation type="list" operator="between" allowBlank="1" showInputMessage="1" showErrorMessage="1" sqref="AW3:AW59">
      <formula1>List!$B$3:$B$4</formula1>
    </dataValidation>
    <dataValidation type="list" operator="between" allowBlank="1" showInputMessage="1" showErrorMessage="1" sqref="AX3:AX59">
      <formula1>List!$B$3:$B$4</formula1>
    </dataValidation>
    <dataValidation type="list" operator="between" allowBlank="1" showInputMessage="1" showErrorMessage="1" sqref="AY3:AY59">
      <formula1>List!$B$3:$B$4</formula1>
    </dataValidation>
    <dataValidation type="list" operator="between" allowBlank="1" showInputMessage="1" showErrorMessage="1" sqref="AZ3:AZ59">
      <formula1>List!$B$3:$B$4</formula1>
    </dataValidation>
    <dataValidation type="list" operator="between" allowBlank="1" showInputMessage="1" showErrorMessage="1" sqref="BN3:BN59">
      <formula1>List!$R$8:$R$11</formula1>
    </dataValidation>
  </dataValidations>
  <pageMargins left="0.7" right="0.7" top="0.75" bottom="0.75" header="0.3" footer="0.3"/>
  <pageSetup paperSize="9" orientation="portrait" horizontalDpi="360" verticalDpi="360"/>
</worksheet>
</file>

<file path=xl/worksheets/sheet2.xml><?xml version="1.0" encoding="utf-8"?>
<worksheet xmlns:r="http://schemas.openxmlformats.org/officeDocument/2006/relationships" xmlns="http://schemas.openxmlformats.org/spreadsheetml/2006/main">
  <sheetPr codeName="Sheet4"/>
  <dimension ref="U37"/>
  <sheetViews>
    <sheetView showGridLines="1" workbookViewId="0"/>
  </sheetViews>
  <sheetFormatPr baseColWidth="8" defaultRowHeight="14.25"/>
  <cols>
    <col min="1" max="1" width="17.75" bestFit="1" customWidth="1"/>
    <col min="2" max="2" width="12.875" customWidth="1"/>
    <col min="11" max="11" width="16.25" customWidth="1"/>
    <col min="21" max="21" width="16.75" customWidth="1"/>
  </cols>
  <sheetData>
    <row r="1" spans="4:20">
      <c r="D1" s="31" t="s">
        <v>203</v>
      </c>
      <c r="E1" s="31" t="s">
        <v>203</v>
      </c>
      <c r="F1" s="31" t="s">
        <v>203</v>
      </c>
      <c r="G1" s="9">
        <v>0</v>
      </c>
      <c r="H1" s="9">
        <v>1</v>
      </c>
      <c r="I1" s="9">
        <v>2</v>
      </c>
      <c r="J1" s="9">
        <v>3</v>
      </c>
      <c r="K1" s="9">
        <v>0</v>
      </c>
      <c r="L1" s="9">
        <v>1</v>
      </c>
      <c r="M1" s="9">
        <v>2</v>
      </c>
      <c r="N1" s="9">
        <v>3</v>
      </c>
      <c r="O1" s="9">
        <v>0</v>
      </c>
      <c r="P1" s="9">
        <v>1</v>
      </c>
      <c r="Q1" s="9">
        <v>2</v>
      </c>
      <c r="R1" s="9">
        <v>3</v>
      </c>
      <c r="S1" s="32">
        <f>=SUMPRODUCT(C4:C29,D4:D29)</f>
        <v>0.0302092383433785</v>
      </c>
      <c r="T1" s="9">
        <f>=SUMPRODUCT(T4:T13,D4:D13)</f>
        <v>8.0976456819332</v>
      </c>
    </row>
    <row r="2" spans="1:19">
      <c r="A2" s="31" t="s">
        <v>204</v>
      </c>
      <c r="C2" s="9">
        <v>1231</v>
      </c>
      <c r="D2" s="31" t="s">
        <v>67</v>
      </c>
      <c r="E2" s="31" t="s">
        <v>177</v>
      </c>
      <c r="F2" s="31" t="s">
        <v>150</v>
      </c>
      <c r="G2" s="31" t="s">
        <v>67</v>
      </c>
      <c r="H2" s="9" t="s">
        <v>67</v>
      </c>
      <c r="I2" s="9" t="s">
        <v>67</v>
      </c>
      <c r="J2" s="9" t="s">
        <v>67</v>
      </c>
      <c r="K2" s="31" t="s">
        <v>177</v>
      </c>
      <c r="L2" s="9" t="s">
        <v>177</v>
      </c>
      <c r="M2" s="9" t="s">
        <v>177</v>
      </c>
      <c r="N2" s="9" t="s">
        <v>177</v>
      </c>
      <c r="O2" s="31" t="s">
        <v>150</v>
      </c>
      <c r="P2" s="9" t="s">
        <v>150</v>
      </c>
      <c r="Q2" s="9" t="s">
        <v>150</v>
      </c>
      <c r="R2" s="9" t="s">
        <v>150</v>
      </c>
      <c r="S2" s="9">
        <f>=SUMPRODUCT(S4:S29,D4:D29)</f>
        <v>0.050371133960886</v>
      </c>
    </row>
    <row r="3" spans="1:29">
      <c r="A3" s="11">
        <f>=71125456854.9999*K37</f>
        <v>80255529372.72</v>
      </c>
      <c r="B3" s="5" t="s">
        <v>10</v>
      </c>
      <c r="C3" s="5" t="s">
        <v>24</v>
      </c>
      <c r="D3" s="31" t="s">
        <v>205</v>
      </c>
      <c r="E3" s="31" t="s">
        <v>205</v>
      </c>
      <c r="F3" s="31" t="s">
        <v>205</v>
      </c>
      <c r="G3" s="31" t="s">
        <v>205</v>
      </c>
      <c r="H3" s="9" t="s">
        <v>205</v>
      </c>
      <c r="I3" s="9" t="s">
        <v>205</v>
      </c>
      <c r="J3" s="9" t="s">
        <v>205</v>
      </c>
      <c r="K3" s="31" t="s">
        <v>205</v>
      </c>
      <c r="L3" s="9" t="s">
        <v>205</v>
      </c>
      <c r="M3" s="9" t="s">
        <v>205</v>
      </c>
      <c r="N3" s="9" t="s">
        <v>205</v>
      </c>
      <c r="O3" s="31" t="s">
        <v>205</v>
      </c>
      <c r="P3" s="9" t="s">
        <v>205</v>
      </c>
      <c r="Q3" s="9" t="s">
        <v>205</v>
      </c>
      <c r="R3" s="9" t="s">
        <v>205</v>
      </c>
      <c r="S3" s="31" t="s">
        <v>206</v>
      </c>
      <c r="V3" s="9" t="s">
        <v>207</v>
      </c>
      <c r="W3" s="31" t="s">
        <v>206</v>
      </c>
      <c r="X3" s="31" t="s">
        <v>206</v>
      </c>
      <c r="AB3" s="9" t="s">
        <v>208</v>
      </c>
      <c r="AC3" s="9" t="s">
        <v>74</v>
      </c>
    </row>
    <row r="4" spans="1:29">
      <c r="A4" s="11">
        <f>=SUM(资产明细!M3:M80)</f>
        <v>80255529372.72</v>
      </c>
      <c r="B4" s="33" t="s">
        <v>66</v>
      </c>
      <c r="C4" s="34">
        <v>0.011872</v>
      </c>
      <c r="D4" s="13">
        <f>=SUMIFS(资产明细!$M$3:$M$80,资产明细!$D$3:$D$80,配置调整!D$2,资产明细!$K$3:$K$80,配置调整!$B4)/SUMIFS(资产明细!$M$3:$M$80,资产明细!$D$3:$D$80,配置调整!D$2)</f>
        <v>0.0036988282708286</v>
      </c>
      <c r="E4" s="13">
        <f>=SUMIFS(资产明细!$M$3:$M$80,资产明细!$D$3:$D$80,配置调整!E$2,资产明细!$K$3:$K$80,配置调整!$B4)/SUMIFS(资产明细!$M$3:$M$80,资产明细!$D$3:$D$80,配置调整!E$2)</f>
        <v>0.0036988282708286</v>
      </c>
      <c r="F4" s="13">
        <f>=SUMIFS(资产明细!$M$3:$M$80,资产明细!$D$3:$D$80,配置调整!F$2,资产明细!$K$3:$K$80,配置调整!$B4)/SUMIFS(资产明细!$M$3:$M$80,资产明细!$D$3:$D$80,配置调整!F$2)</f>
        <v>0.0036988282708286</v>
      </c>
      <c r="G4" s="36">
        <f>=Sheet1!L3</f>
        <v>0.0036988282708286</v>
      </c>
      <c r="H4" s="36">
        <f>=Sheet1!M3</f>
        <v>0.0182508432682007</v>
      </c>
      <c r="I4" s="36">
        <f>=Sheet1!N3</f>
        <v>0.0240325332166414</v>
      </c>
      <c r="J4" s="36">
        <f>=Sheet1!O3</f>
        <v>0.0049270318738296</v>
      </c>
      <c r="K4" s="37">
        <f>=G4</f>
        <v>0.0036988282708286</v>
      </c>
      <c r="L4" s="37">
        <f>=H4</f>
        <v>0.0182508432682007</v>
      </c>
      <c r="M4" s="37">
        <f>=I4</f>
        <v>0.0240325332166414</v>
      </c>
      <c r="N4" s="37">
        <f>=J4</f>
        <v>0.0049270318738296</v>
      </c>
      <c r="O4" s="38">
        <f>=K4</f>
        <v>0.0036988282708286</v>
      </c>
      <c r="P4" s="38">
        <f>=L4</f>
        <v>0.0182508432682007</v>
      </c>
      <c r="Q4" s="38">
        <f>=M4</f>
        <v>0.0240325332166414</v>
      </c>
      <c r="R4" s="38">
        <f>=N4</f>
        <v>0.0049270318738296</v>
      </c>
      <c r="S4" s="39">
        <v>0.015</v>
      </c>
      <c r="T4" s="40">
        <v>2.5</v>
      </c>
      <c r="V4" s="9" t="s">
        <v>209</v>
      </c>
      <c r="W4" s="29" t="s">
        <v>209</v>
      </c>
      <c r="X4" s="29" t="s">
        <v>210</v>
      </c>
      <c r="Y4" s="29" t="s"/>
      <c r="Z4" s="31" t="s">
        <v>211</v>
      </c>
      <c r="AB4" s="9" t="s">
        <v>212</v>
      </c>
      <c r="AC4" s="13">
        <v>0.006635</v>
      </c>
    </row>
    <row r="5" spans="1:29">
      <c r="A5" s="31" t="s">
        <v>67</v>
      </c>
      <c r="B5" s="33" t="s">
        <v>75</v>
      </c>
      <c r="C5" s="34">
        <v>0.014152</v>
      </c>
      <c r="D5" s="13">
        <f>=SUMIFS(资产明细!$M$3:$M$80,资产明细!$D$3:$D$80,配置调整!D$2,资产明细!$K$3:$K$80,配置调整!$B5)/SUMIFS(资产明细!$M$3:$M$80,资产明细!$D$3:$D$80,配置调整!D$2)</f>
        <v>0.0077904802849662</v>
      </c>
      <c r="E5" s="13">
        <f>=SUMIFS(资产明细!$M$3:$M$80,资产明细!$D$3:$D$80,配置调整!E$2,资产明细!$K$3:$K$80,配置调整!$B5)/SUMIFS(资产明细!$M$3:$M$80,资产明细!$D$3:$D$80,配置调整!E$2)</f>
        <v>0.0077904802849662</v>
      </c>
      <c r="F5" s="13">
        <f>=SUMIFS(资产明细!$M$3:$M$80,资产明细!$D$3:$D$80,配置调整!F$2,资产明细!$K$3:$K$80,配置调整!$B5)/SUMIFS(资产明细!$M$3:$M$80,资产明细!$D$3:$D$80,配置调整!F$2)</f>
        <v>0.0077904802849662</v>
      </c>
      <c r="G5" s="36">
        <f>=Sheet1!L4</f>
        <v>0.0077904802849662</v>
      </c>
      <c r="H5" s="36">
        <f>=Sheet1!M4</f>
        <v>0.034165383532113</v>
      </c>
      <c r="I5" s="36">
        <f>=Sheet1!N4</f>
        <v>0.00251157480767</v>
      </c>
      <c r="J5" s="36">
        <f>=Sheet1!O4</f>
        <v>0.0020925843994497</v>
      </c>
      <c r="K5" s="37">
        <f>=G5</f>
        <v>0.0077904802849662</v>
      </c>
      <c r="L5" s="37">
        <f>=H5</f>
        <v>0.034165383532113</v>
      </c>
      <c r="M5" s="37">
        <f>=I5</f>
        <v>0.00251157480767</v>
      </c>
      <c r="N5" s="37">
        <f>=J5</f>
        <v>0.0020925843994497</v>
      </c>
      <c r="O5" s="38">
        <f>=K5</f>
        <v>0.0077904802849662</v>
      </c>
      <c r="P5" s="38">
        <f>=L5</f>
        <v>0.034165383532113</v>
      </c>
      <c r="Q5" s="38">
        <f>=M5</f>
        <v>0.00251157480767</v>
      </c>
      <c r="R5" s="38">
        <f>=N5</f>
        <v>0.0020925843994497</v>
      </c>
      <c r="S5" s="39">
        <v>0.02</v>
      </c>
      <c r="T5" s="40">
        <v>4</v>
      </c>
      <c r="U5" s="9" t="s">
        <v>77</v>
      </c>
      <c r="V5" s="13">
        <v>0.02186</v>
      </c>
      <c r="W5" s="42">
        <v>0.0464899570421919</v>
      </c>
      <c r="X5" s="42">
        <v>0.046682</v>
      </c>
      <c r="Y5" s="42">
        <f>=W5-X5</f>
        <v>-0.000192042957808142</v>
      </c>
      <c r="Z5" s="13">
        <v>0.021518</v>
      </c>
      <c r="AA5" s="43">
        <v>0.016752</v>
      </c>
      <c r="AB5" s="9" t="s">
        <v>213</v>
      </c>
      <c r="AC5" s="13">
        <v>0.008532</v>
      </c>
    </row>
    <row r="6" spans="1:29">
      <c r="A6" s="11">
        <f>=A3/3</f>
        <v>26751843124.24</v>
      </c>
      <c r="B6" s="33" t="s">
        <v>77</v>
      </c>
      <c r="C6" s="34">
        <v>0.016752</v>
      </c>
      <c r="D6" s="13">
        <f>=SUMIFS(资产明细!$M$3:$M$80,资产明细!$D$3:$D$80,配置调整!D$2,资产明细!$K$3:$K$80,配置调整!$B6)/SUMIFS(资产明细!$M$3:$M$80,资产明细!$D$3:$D$80,配置调整!D$2)</f>
        <v>0.0324966540302528</v>
      </c>
      <c r="E6" s="13">
        <f>=SUMIFS(资产明细!$M$3:$M$80,资产明细!$D$3:$D$80,配置调整!E$2,资产明细!$K$3:$K$80,配置调整!$B6)/SUMIFS(资产明细!$M$3:$M$80,资产明细!$D$3:$D$80,配置调整!E$2)</f>
        <v>0.0324966540302528</v>
      </c>
      <c r="F6" s="13">
        <f>=SUMIFS(资产明细!$M$3:$M$80,资产明细!$D$3:$D$80,配置调整!F$2,资产明细!$K$3:$K$80,配置调整!$B6)/SUMIFS(资产明细!$M$3:$M$80,资产明细!$D$3:$D$80,配置调整!F$2)</f>
        <v>0.0324966540302528</v>
      </c>
      <c r="G6" s="36">
        <f>=Sheet1!L5</f>
        <v>0.0324966540302528</v>
      </c>
      <c r="H6" s="36">
        <f>=Sheet1!M5</f>
        <v>0.0000703209203817021</v>
      </c>
      <c r="I6" s="36">
        <f>=Sheet1!N5</f>
        <v>0.030616003586082</v>
      </c>
      <c r="J6" s="36">
        <f>=Sheet1!O5</f>
        <v>0.0137354487370547</v>
      </c>
      <c r="K6" s="37">
        <f>=G6</f>
        <v>0.0324966540302528</v>
      </c>
      <c r="L6" s="37">
        <f>=H6</f>
        <v>0.0000703209203817021</v>
      </c>
      <c r="M6" s="37">
        <f>=I6</f>
        <v>0.030616003586082</v>
      </c>
      <c r="N6" s="37">
        <f>=J6</f>
        <v>0.0137354487370547</v>
      </c>
      <c r="O6" s="38">
        <f>=K6</f>
        <v>0.0324966540302528</v>
      </c>
      <c r="P6" s="38">
        <f>=L6</f>
        <v>0.0000703209203817021</v>
      </c>
      <c r="Q6" s="38">
        <f>=M6</f>
        <v>0.030616003586082</v>
      </c>
      <c r="R6" s="38">
        <f>=N6</f>
        <v>0.0137354487370547</v>
      </c>
      <c r="S6" s="39">
        <v>0.04</v>
      </c>
      <c r="T6" s="40">
        <v>8</v>
      </c>
      <c r="U6" s="9" t="s">
        <v>214</v>
      </c>
      <c r="V6" s="13">
        <v>0.023965</v>
      </c>
      <c r="W6" s="42">
        <v>0.104652352843798</v>
      </c>
      <c r="X6" s="42">
        <v>0.103864</v>
      </c>
      <c r="Y6" s="42">
        <f>=W6-X6</f>
        <v>0.000788352843798301</v>
      </c>
      <c r="Z6" s="13">
        <v>0.02355</v>
      </c>
      <c r="AB6" s="9" t="s">
        <v>215</v>
      </c>
      <c r="AC6" s="13">
        <v>0.00907</v>
      </c>
    </row>
    <row r="7" spans="2:29">
      <c r="B7" s="33" t="s">
        <v>79</v>
      </c>
      <c r="C7" s="34">
        <v>0.019747</v>
      </c>
      <c r="D7" s="13">
        <f>=SUMIFS(资产明细!$M$3:$M$80,资产明细!$D$3:$D$80,配置调整!D$2,资产明细!$K$3:$K$80,配置调整!$B7)/SUMIFS(资产明细!$M$3:$M$80,资产明细!$D$3:$D$80,配置调整!D$2)</f>
        <v>0.142120887216312</v>
      </c>
      <c r="E7" s="13">
        <f>=SUMIFS(资产明细!$M$3:$M$80,资产明细!$D$3:$D$80,配置调整!E$2,资产明细!$K$3:$K$80,配置调整!$B7)/SUMIFS(资产明细!$M$3:$M$80,资产明细!$D$3:$D$80,配置调整!E$2)</f>
        <v>0.142120887216312</v>
      </c>
      <c r="F7" s="13">
        <f>=SUMIFS(资产明细!$M$3:$M$80,资产明细!$D$3:$D$80,配置调整!F$2,资产明细!$K$3:$K$80,配置调整!$B7)/SUMIFS(资产明细!$M$3:$M$80,资产明细!$D$3:$D$80,配置调整!F$2)</f>
        <v>0.142120887216312</v>
      </c>
      <c r="G7" s="36">
        <f>=Sheet1!L6</f>
        <v>0.142120887216312</v>
      </c>
      <c r="H7" s="36">
        <f>=Sheet1!M6</f>
        <v>0.157464746834564</v>
      </c>
      <c r="I7" s="36">
        <f>=Sheet1!N6</f>
        <v>0.292979068467695</v>
      </c>
      <c r="J7" s="36">
        <f>=Sheet1!O6</f>
        <v>0.228350414226373</v>
      </c>
      <c r="K7" s="37">
        <f>=G7</f>
        <v>0.142120887216312</v>
      </c>
      <c r="L7" s="37">
        <f>=H7</f>
        <v>0.157464746834564</v>
      </c>
      <c r="M7" s="37">
        <f>=I7</f>
        <v>0.292979068467695</v>
      </c>
      <c r="N7" s="37">
        <f>=J7</f>
        <v>0.228350414226373</v>
      </c>
      <c r="O7" s="38">
        <f>=K7</f>
        <v>0.142120887216312</v>
      </c>
      <c r="P7" s="38">
        <f>=L7</f>
        <v>0.157464746834564</v>
      </c>
      <c r="Q7" s="38">
        <f>=M7</f>
        <v>0.292979068467695</v>
      </c>
      <c r="R7" s="38">
        <f>=N7</f>
        <v>0.228350414226373</v>
      </c>
      <c r="S7" s="39">
        <v>0.045</v>
      </c>
      <c r="T7" s="40">
        <v>14</v>
      </c>
      <c r="U7" s="9" t="s">
        <v>83</v>
      </c>
      <c r="V7" s="13">
        <v>0.0235948360130379</v>
      </c>
      <c r="W7" s="42">
        <v>0.0243247715156154</v>
      </c>
      <c r="X7" s="42">
        <v>0.023601</v>
      </c>
      <c r="Y7" s="42">
        <f>=W7-X7</f>
        <v>0.00072377151561542</v>
      </c>
      <c r="Z7" s="13">
        <v>0.023248</v>
      </c>
      <c r="AB7" s="9" t="s">
        <v>216</v>
      </c>
      <c r="AC7" s="13">
        <v>0.009543</v>
      </c>
    </row>
    <row r="8" spans="1:29">
      <c r="A8" s="31" t="s">
        <v>177</v>
      </c>
      <c r="B8" s="33" t="s">
        <v>81</v>
      </c>
      <c r="C8" s="34">
        <v>0.019875</v>
      </c>
      <c r="D8" s="13">
        <f>=SUMIFS(资产明细!$M$3:$M$80,资产明细!$D$3:$D$80,配置调整!D$2,资产明细!$K$3:$K$80,配置调整!$B8)/SUMIFS(资产明细!$M$3:$M$80,资产明细!$D$3:$D$80,配置调整!D$2)</f>
        <v>0.206147675480299</v>
      </c>
      <c r="E8" s="13">
        <f>=SUMIFS(资产明细!$M$3:$M$80,资产明细!$D$3:$D$80,配置调整!E$2,资产明细!$K$3:$K$80,配置调整!$B8)/SUMIFS(资产明细!$M$3:$M$80,资产明细!$D$3:$D$80,配置调整!E$2)</f>
        <v>0.206147675480299</v>
      </c>
      <c r="F8" s="13">
        <f>=SUMIFS(资产明细!$M$3:$M$80,资产明细!$D$3:$D$80,配置调整!F$2,资产明细!$K$3:$K$80,配置调整!$B8)/SUMIFS(资产明细!$M$3:$M$80,资产明细!$D$3:$D$80,配置调整!F$2)</f>
        <v>0.206147675480299</v>
      </c>
      <c r="G8" s="36">
        <f>=Sheet1!L7</f>
        <v>0.206147675480299</v>
      </c>
      <c r="H8" s="36">
        <f>=Sheet1!M7</f>
        <v>0.204314441993768</v>
      </c>
      <c r="I8" s="36">
        <f>=Sheet1!N7</f>
        <v>0.138352959011897</v>
      </c>
      <c r="J8" s="36">
        <f>=Sheet1!O7</f>
        <v>0.173154481526647</v>
      </c>
      <c r="K8" s="37">
        <f>=G8</f>
        <v>0.206147675480299</v>
      </c>
      <c r="L8" s="37">
        <f>=H8</f>
        <v>0.204314441993768</v>
      </c>
      <c r="M8" s="37">
        <f>=I8</f>
        <v>0.138352959011897</v>
      </c>
      <c r="N8" s="37">
        <f>=J8</f>
        <v>0.173154481526647</v>
      </c>
      <c r="O8" s="38">
        <f>=K8</f>
        <v>0.206147675480299</v>
      </c>
      <c r="P8" s="38">
        <f>=L8</f>
        <v>0.204314441993768</v>
      </c>
      <c r="Q8" s="38">
        <f>=M8</f>
        <v>0.138352959011897</v>
      </c>
      <c r="R8" s="38">
        <f>=N8</f>
        <v>0.173154481526647</v>
      </c>
      <c r="S8" s="39">
        <v>0.055</v>
      </c>
      <c r="T8" s="40">
        <v>25</v>
      </c>
      <c r="U8" s="9" t="s">
        <v>88</v>
      </c>
      <c r="V8" s="13">
        <v>0.0234872877927068</v>
      </c>
      <c r="W8" s="42">
        <v>0.0338474911037669</v>
      </c>
      <c r="X8" s="42">
        <v>0.033473</v>
      </c>
      <c r="Y8" s="42">
        <f>=W8-X8</f>
        <v>0.00037449110376684</v>
      </c>
      <c r="Z8" s="13">
        <v>0.024018</v>
      </c>
      <c r="AB8" s="9" t="s">
        <v>217</v>
      </c>
      <c r="AC8" s="13">
        <v>0.010197</v>
      </c>
    </row>
    <row r="9" spans="1:29">
      <c r="A9" s="11">
        <f>=A3/3</f>
        <v>26751843124.24</v>
      </c>
      <c r="B9" s="33" t="s">
        <v>86</v>
      </c>
      <c r="C9" s="34">
        <v>0.017501</v>
      </c>
      <c r="D9" s="13">
        <f>=SUMIFS(资产明细!$M$3:$M$80,资产明细!$D$3:$D$80,配置调整!D$2,资产明细!$K$3:$K$80,配置调整!$B9)/SUMIFS(资产明细!$M$3:$M$80,资产明细!$D$3:$D$80,配置调整!D$2)</f>
        <v>0.0679775847971227</v>
      </c>
      <c r="E9" s="13">
        <f>=SUMIFS(资产明细!$M$3:$M$80,资产明细!$D$3:$D$80,配置调整!E$2,资产明细!$K$3:$K$80,配置调整!$B9)/SUMIFS(资产明细!$M$3:$M$80,资产明细!$D$3:$D$80,配置调整!E$2)</f>
        <v>0.0679775847971227</v>
      </c>
      <c r="F9" s="13">
        <f>=SUMIFS(资产明细!$M$3:$M$80,资产明细!$D$3:$D$80,配置调整!F$2,资产明细!$K$3:$K$80,配置调整!$B9)/SUMIFS(资产明细!$M$3:$M$80,资产明细!$D$3:$D$80,配置调整!F$2)</f>
        <v>0.0679775847971227</v>
      </c>
      <c r="G9" s="36">
        <f>=Sheet1!L8</f>
        <v>0.0679775847971227</v>
      </c>
      <c r="H9" s="36">
        <f>=Sheet1!M8</f>
        <v>0.065288002218044</v>
      </c>
      <c r="I9" s="36">
        <f>=Sheet1!N8</f>
        <v>0.0092608415149028</v>
      </c>
      <c r="J9" s="36">
        <f>=Sheet1!O8</f>
        <v>0.0047362284171925</v>
      </c>
      <c r="K9" s="37">
        <f>=G9</f>
        <v>0.0679775847971227</v>
      </c>
      <c r="L9" s="37">
        <f>=H9</f>
        <v>0.065288002218044</v>
      </c>
      <c r="M9" s="37">
        <f>=I9</f>
        <v>0.0092608415149028</v>
      </c>
      <c r="N9" s="37">
        <f>=J9</f>
        <v>0.0047362284171925</v>
      </c>
      <c r="O9" s="38">
        <f>=K9</f>
        <v>0.0679775847971227</v>
      </c>
      <c r="P9" s="38">
        <f>=L9</f>
        <v>0.065288002218044</v>
      </c>
      <c r="Q9" s="38">
        <f>=M9</f>
        <v>0.0092608415149028</v>
      </c>
      <c r="R9" s="38">
        <f>=N9</f>
        <v>0.0047362284171925</v>
      </c>
      <c r="S9" s="48">
        <f>=W7*C9/V7</f>
        <v>0.0180424151309867</v>
      </c>
      <c r="T9" s="40">
        <v>2.5</v>
      </c>
      <c r="U9" s="9" t="s">
        <v>95</v>
      </c>
      <c r="V9" s="13">
        <v>0.0327481955811409</v>
      </c>
      <c r="W9" s="49">
        <v>0.0291897258187385</v>
      </c>
      <c r="X9" s="49">
        <v>0.0283212</v>
      </c>
      <c r="Y9" s="42">
        <f>=W9-X9</f>
        <v>0.000868525818738506</v>
      </c>
      <c r="Z9" s="13" t="s"/>
      <c r="AB9" s="9" t="s">
        <v>218</v>
      </c>
      <c r="AC9" s="13">
        <v>0.010814</v>
      </c>
    </row>
    <row r="10" spans="2:29">
      <c r="B10" s="33" t="s">
        <v>90</v>
      </c>
      <c r="C10" s="34">
        <v>0.018727</v>
      </c>
      <c r="D10" s="13">
        <f>=SUMIFS(资产明细!$M$3:$M$80,资产明细!$D$3:$D$80,配置调整!D$2,资产明细!$K$3:$K$80,配置调整!$B10)/SUMIFS(资产明细!$M$3:$M$80,资产明细!$D$3:$D$80,配置调整!D$2)</f>
        <v>0.0059782633862303</v>
      </c>
      <c r="E10" s="13">
        <f>=SUMIFS(资产明细!$M$3:$M$80,资产明细!$D$3:$D$80,配置调整!E$2,资产明细!$K$3:$K$80,配置调整!$B10)/SUMIFS(资产明细!$M$3:$M$80,资产明细!$D$3:$D$80,配置调整!E$2)</f>
        <v>0.0059782633862303</v>
      </c>
      <c r="F10" s="13">
        <f>=SUMIFS(资产明细!$M$3:$M$80,资产明细!$D$3:$D$80,配置调整!F$2,资产明细!$K$3:$K$80,配置调整!$B10)/SUMIFS(资产明细!$M$3:$M$80,资产明细!$D$3:$D$80,配置调整!F$2)</f>
        <v>0.0059782633862303</v>
      </c>
      <c r="G10" s="36">
        <f>=Sheet1!L9</f>
        <v>0.0059782633862303</v>
      </c>
      <c r="H10" s="36">
        <f>=Sheet1!M9</f>
        <v>0.00000000000416653808826824</v>
      </c>
      <c r="I10" s="36">
        <f>=Sheet1!N9</f>
        <v>0.0172898527903005</v>
      </c>
      <c r="J10" s="36">
        <f>=Sheet1!O9</f>
        <v>0.000872631771809</v>
      </c>
      <c r="K10" s="37">
        <f>=G10</f>
        <v>0.0059782633862303</v>
      </c>
      <c r="L10" s="37">
        <f>=H10</f>
        <v>0.00000000000416653808826824</v>
      </c>
      <c r="M10" s="37">
        <f>=I10</f>
        <v>0.0172898527903005</v>
      </c>
      <c r="N10" s="37">
        <f>=J10</f>
        <v>0.000872631771809</v>
      </c>
      <c r="O10" s="38">
        <f>=K10</f>
        <v>0.0059782633862303</v>
      </c>
      <c r="P10" s="38">
        <f>=L10</f>
        <v>0.00000000000416653808826824</v>
      </c>
      <c r="Q10" s="38">
        <f>=M10</f>
        <v>0.0172898527903005</v>
      </c>
      <c r="R10" s="38">
        <f>=N10</f>
        <v>0.000872631771809</v>
      </c>
      <c r="S10" s="48">
        <f>=W8*C10/V8</f>
        <v>0.0269874483377798</v>
      </c>
      <c r="T10" s="40">
        <v>4</v>
      </c>
      <c r="U10" s="9" t="s">
        <v>100</v>
      </c>
      <c r="V10" s="13">
        <v>0.0321437779305128</v>
      </c>
      <c r="W10" s="49">
        <v>0.0406169893245202</v>
      </c>
      <c r="X10" s="49">
        <v>0.0401676</v>
      </c>
      <c r="Y10" s="42">
        <f>=W10-X10</f>
        <v>0.000449389324520204</v>
      </c>
      <c r="Z10" s="13" t="s"/>
      <c r="AB10" s="9" t="s">
        <v>219</v>
      </c>
      <c r="AC10" s="13">
        <v>0.011375</v>
      </c>
    </row>
    <row r="11" spans="1:29">
      <c r="A11" s="31" t="s">
        <v>150</v>
      </c>
      <c r="B11" s="33" t="s">
        <v>94</v>
      </c>
      <c r="C11" s="34">
        <v>0.021173</v>
      </c>
      <c r="D11" s="13">
        <f>=SUMIFS(资产明细!$M$3:$M$80,资产明细!$D$3:$D$80,配置调整!D$2,资产明细!$K$3:$K$80,配置调整!$B11)/SUMIFS(资产明细!$M$3:$M$80,资产明细!$D$3:$D$80,配置调整!D$2)</f>
        <v>0.0391356129763048</v>
      </c>
      <c r="E11" s="13">
        <f>=SUMIFS(资产明细!$M$3:$M$80,资产明细!$D$3:$D$80,配置调整!E$2,资产明细!$K$3:$K$80,配置调整!$B11)/SUMIFS(资产明细!$M$3:$M$80,资产明细!$D$3:$D$80,配置调整!E$2)</f>
        <v>0.0391356129763048</v>
      </c>
      <c r="F11" s="13">
        <f>=SUMIFS(资产明细!$M$3:$M$80,资产明细!$D$3:$D$80,配置调整!F$2,资产明细!$K$3:$K$80,配置调整!$B11)/SUMIFS(资产明细!$M$3:$M$80,资产明细!$D$3:$D$80,配置调整!F$2)</f>
        <v>0.0391356129763048</v>
      </c>
      <c r="G11" s="36">
        <f>=Sheet1!L10</f>
        <v>0.0391356129763048</v>
      </c>
      <c r="H11" s="36">
        <f>=Sheet1!M10</f>
        <v>0.0654970964119174</v>
      </c>
      <c r="I11" s="36">
        <f>=Sheet1!N10</f>
        <v>0.0153246557751078</v>
      </c>
      <c r="J11" s="36">
        <f>=Sheet1!O10</f>
        <v>0.0272219045637462</v>
      </c>
      <c r="K11" s="37">
        <f>=G11</f>
        <v>0.0391356129763048</v>
      </c>
      <c r="L11" s="37">
        <f>=H11</f>
        <v>0.0654970964119174</v>
      </c>
      <c r="M11" s="37">
        <f>=I11</f>
        <v>0.0153246557751078</v>
      </c>
      <c r="N11" s="37">
        <f>=J11</f>
        <v>0.0272219045637462</v>
      </c>
      <c r="O11" s="38">
        <f>=K11</f>
        <v>0.0391356129763048</v>
      </c>
      <c r="P11" s="38">
        <f>=L11</f>
        <v>0.0654970964119174</v>
      </c>
      <c r="Q11" s="38">
        <f>=M11</f>
        <v>0.0153246557751078</v>
      </c>
      <c r="R11" s="38">
        <f>=N11</f>
        <v>0.0272219045637462</v>
      </c>
      <c r="S11" s="48">
        <f>=[19]自定义指标!$B$10/[19]自定义指标!$B$9*S10</f>
        <v>0.0432881268614034</v>
      </c>
      <c r="T11" s="40">
        <v>8</v>
      </c>
      <c r="U11" s="9" t="s">
        <v>103</v>
      </c>
      <c r="V11" s="13">
        <v>0.0917748145373926</v>
      </c>
      <c r="W11" s="42">
        <v>0.250661481102131</v>
      </c>
      <c r="X11" s="42">
        <v>0.24764</v>
      </c>
      <c r="Y11" s="42">
        <f>=W11-X11</f>
        <v>0.00302148110213099</v>
      </c>
      <c r="Z11" s="13" t="s"/>
      <c r="AB11" s="9" t="s">
        <v>220</v>
      </c>
      <c r="AC11" s="13">
        <v>0.011881</v>
      </c>
    </row>
    <row r="12" spans="1:29">
      <c r="A12" s="11">
        <f>=A3/3</f>
        <v>26751843124.24</v>
      </c>
      <c r="B12" s="33" t="s">
        <v>95</v>
      </c>
      <c r="C12" s="52">
        <v>0.0242903222785211</v>
      </c>
      <c r="D12" s="13">
        <f>=SUMIFS(资产明细!$M$3:$M$80,资产明细!$D$3:$D$80,配置调整!D$2,资产明细!$K$3:$K$80,配置调整!$B12)/SUMIFS(资产明细!$M$3:$M$80,资产明细!$D$3:$D$80,配置调整!D$2)</f>
        <v>0.0286921283531514</v>
      </c>
      <c r="E12" s="13">
        <f>=SUMIFS(资产明细!$M$3:$M$80,资产明细!$D$3:$D$80,配置调整!E$2,资产明细!$K$3:$K$80,配置调整!$B12)/SUMIFS(资产明细!$M$3:$M$80,资产明细!$D$3:$D$80,配置调整!E$2)</f>
        <v>0.0286921283531514</v>
      </c>
      <c r="F12" s="13">
        <f>=SUMIFS(资产明细!$M$3:$M$80,资产明细!$D$3:$D$80,配置调整!F$2,资产明细!$K$3:$K$80,配置调整!$B12)/SUMIFS(资产明细!$M$3:$M$80,资产明细!$D$3:$D$80,配置调整!F$2)</f>
        <v>0.0286921283531514</v>
      </c>
      <c r="G12" s="36">
        <f>=Sheet1!L11</f>
        <v>0.0286921283531514</v>
      </c>
      <c r="H12" s="36">
        <f>=Sheet1!M11</f>
        <v>0.0002131263727091</v>
      </c>
      <c r="I12" s="36">
        <f>=Sheet1!N11</f>
        <v>0.0074794707726772</v>
      </c>
      <c r="J12" s="36">
        <f>=Sheet1!O11</f>
        <v>0.007153567240452</v>
      </c>
      <c r="K12" s="37">
        <f>=G12</f>
        <v>0.0286921283531514</v>
      </c>
      <c r="L12" s="37">
        <f>=H12</f>
        <v>0.0002131263727091</v>
      </c>
      <c r="M12" s="37">
        <f>=I12</f>
        <v>0.0074794707726772</v>
      </c>
      <c r="N12" s="37">
        <f>=J12</f>
        <v>0.007153567240452</v>
      </c>
      <c r="O12" s="38">
        <f>=K12</f>
        <v>0.0286921283531514</v>
      </c>
      <c r="P12" s="38">
        <f>=L12</f>
        <v>0.0002131263727091</v>
      </c>
      <c r="Q12" s="38">
        <f>=M12</f>
        <v>0.0074794707726772</v>
      </c>
      <c r="R12" s="38">
        <f>=N12</f>
        <v>0.007153567240452</v>
      </c>
      <c r="S12" s="48">
        <f>=W9*C12/V9</f>
        <v>0.0216508981571841</v>
      </c>
      <c r="T12" s="40">
        <v>2.5</v>
      </c>
      <c r="U12" s="9" t="s">
        <v>108</v>
      </c>
      <c r="V12" s="13">
        <v>0.102177901737154</v>
      </c>
      <c r="W12" s="42">
        <v>0.210632409312247</v>
      </c>
      <c r="X12" s="42">
        <v>0.210144</v>
      </c>
      <c r="Y12" s="42">
        <f>=W12-X12</f>
        <v>0.000488409312246696</v>
      </c>
      <c r="Z12" s="13" t="s"/>
      <c r="AB12" s="9" t="s">
        <v>221</v>
      </c>
      <c r="AC12" s="13">
        <v>0.012961</v>
      </c>
    </row>
    <row r="13" spans="2:29">
      <c r="B13" s="33" t="s">
        <v>100</v>
      </c>
      <c r="C13" s="52">
        <v>0.0256290353580812</v>
      </c>
      <c r="D13" s="13">
        <f>=SUMIFS(资产明细!$M$3:$M$80,资产明细!$D$3:$D$80,配置调整!D$2,资产明细!$K$3:$K$80,配置调整!$B13)/SUMIFS(资产明细!$M$3:$M$80,资产明细!$D$3:$D$80,配置调整!D$2)</f>
        <v>0.0188017274018373</v>
      </c>
      <c r="E13" s="13">
        <f>=SUMIFS(资产明细!$M$3:$M$80,资产明细!$D$3:$D$80,配置调整!E$2,资产明细!$K$3:$K$80,配置调整!$B13)/SUMIFS(资产明细!$M$3:$M$80,资产明细!$D$3:$D$80,配置调整!E$2)</f>
        <v>0.0188017274018373</v>
      </c>
      <c r="F13" s="13">
        <f>=SUMIFS(资产明细!$M$3:$M$80,资产明细!$D$3:$D$80,配置调整!F$2,资产明细!$K$3:$K$80,配置调整!$B13)/SUMIFS(资产明细!$M$3:$M$80,资产明细!$D$3:$D$80,配置调整!F$2)</f>
        <v>0.0188017274018373</v>
      </c>
      <c r="G13" s="36">
        <f>=Sheet1!L12</f>
        <v>0.0188017274018373</v>
      </c>
      <c r="H13" s="36">
        <f>=Sheet1!M12</f>
        <v>0.0184354490152731</v>
      </c>
      <c r="I13" s="36">
        <f>=Sheet1!N12</f>
        <v>0.0110068031414003</v>
      </c>
      <c r="J13" s="36">
        <f>=Sheet1!O12</f>
        <v>0.0260718545430311</v>
      </c>
      <c r="K13" s="37">
        <f>=G13</f>
        <v>0.0188017274018373</v>
      </c>
      <c r="L13" s="37">
        <f>=H13</f>
        <v>0.0184354490152731</v>
      </c>
      <c r="M13" s="37">
        <f>=I13</f>
        <v>0.0110068031414003</v>
      </c>
      <c r="N13" s="37">
        <f>=J13</f>
        <v>0.0260718545430311</v>
      </c>
      <c r="O13" s="38">
        <f>=K13</f>
        <v>0.0188017274018373</v>
      </c>
      <c r="P13" s="38">
        <f>=L13</f>
        <v>0.0184354490152731</v>
      </c>
      <c r="Q13" s="38">
        <f>=M13</f>
        <v>0.0110068031414003</v>
      </c>
      <c r="R13" s="38">
        <f>=N13</f>
        <v>0.0260718545430311</v>
      </c>
      <c r="S13" s="48">
        <f>=W10*C13/V10</f>
        <v>0.0323849380053358</v>
      </c>
      <c r="T13" s="40">
        <v>4</v>
      </c>
      <c r="U13" s="9" t="s">
        <v>111</v>
      </c>
      <c r="V13" s="13">
        <v>0.06965</v>
      </c>
      <c r="W13" s="42">
        <v>0.167350203957789</v>
      </c>
      <c r="X13" s="42">
        <v>0.16775</v>
      </c>
      <c r="Y13" s="42">
        <f>=W13-X13</f>
        <v>-0.000399796042210604</v>
      </c>
      <c r="Z13" s="13" t="s"/>
      <c r="AB13" s="9" t="s">
        <v>222</v>
      </c>
      <c r="AC13" s="13">
        <v>0.014212</v>
      </c>
    </row>
    <row r="14" spans="2:29">
      <c r="B14" s="9" t="s">
        <v>103</v>
      </c>
      <c r="C14" s="55">
        <v>0.06</v>
      </c>
      <c r="D14" s="13">
        <f>=SUMIFS(资产明细!$M$3:$M$80,资产明细!$D$3:$D$80,配置调整!D$2,资产明细!$K$3:$K$80,配置调整!$B14)/SUMIFS(资产明细!$M$3:$M$80,资产明细!$D$3:$D$80,配置调整!D$2)</f>
        <v>0.00001</v>
      </c>
      <c r="E14" s="13">
        <f>=SUMIFS(资产明细!$M$3:$M$80,资产明细!$D$3:$D$80,配置调整!E$2,资产明细!$K$3:$K$80,配置调整!$B14)/SUMIFS(资产明细!$M$3:$M$80,资产明细!$D$3:$D$80,配置调整!E$2)</f>
        <v>0.00001</v>
      </c>
      <c r="F14" s="13">
        <f>=SUMIFS(资产明细!$M$3:$M$80,资产明细!$D$3:$D$80,配置调整!F$2,资产明细!$K$3:$K$80,配置调整!$B14)/SUMIFS(资产明细!$M$3:$M$80,资产明细!$D$3:$D$80,配置调整!F$2)</f>
        <v>0.00001</v>
      </c>
      <c r="G14" s="36">
        <f>=Sheet1!L13</f>
        <v>0.00001</v>
      </c>
      <c r="H14" s="36">
        <f>=Sheet1!M13</f>
        <v>0.0030906250747803</v>
      </c>
      <c r="I14" s="36">
        <f>=Sheet1!N13</f>
        <v>0.0231956119485384</v>
      </c>
      <c r="J14" s="36">
        <f>=Sheet1!O13</f>
        <v>0.0001379720787222</v>
      </c>
      <c r="K14" s="37">
        <f>=G14</f>
        <v>0.00001</v>
      </c>
      <c r="L14" s="37">
        <f>=H14</f>
        <v>0.0030906250747803</v>
      </c>
      <c r="M14" s="37">
        <f>=I14</f>
        <v>0.0231956119485384</v>
      </c>
      <c r="N14" s="37">
        <f>=J14</f>
        <v>0.0001379720787222</v>
      </c>
      <c r="O14" s="38">
        <f>=K14</f>
        <v>0.00001</v>
      </c>
      <c r="P14" s="38">
        <f>=L14</f>
        <v>0.0030906250747803</v>
      </c>
      <c r="Q14" s="38">
        <f>=M14</f>
        <v>0.0231956119485384</v>
      </c>
      <c r="R14" s="38">
        <f>=N14</f>
        <v>0.0001379720787222</v>
      </c>
      <c r="S14" s="48">
        <v>0.165</v>
      </c>
      <c r="U14" s="9" t="s">
        <v>114</v>
      </c>
      <c r="V14" s="13">
        <v>0.077</v>
      </c>
      <c r="W14" s="42">
        <v>0.225865330996139</v>
      </c>
      <c r="X14" s="42">
        <v>0.226314</v>
      </c>
      <c r="Y14" s="42">
        <f>=W14-X14</f>
        <v>-0.000448669003861479</v>
      </c>
      <c r="Z14" s="13" t="s"/>
      <c r="AB14" s="9" t="s">
        <v>223</v>
      </c>
      <c r="AC14" s="13">
        <v>0.015145</v>
      </c>
    </row>
    <row r="15" spans="2:29">
      <c r="B15" s="9" t="s">
        <v>108</v>
      </c>
      <c r="C15" s="55">
        <v>0.07</v>
      </c>
      <c r="D15" s="13">
        <f>=SUMIFS(资产明细!$M$3:$M$80,资产明细!$D$3:$D$80,配置调整!D$2,资产明细!$K$3:$K$80,配置调整!$B15)/SUMIFS(资产明细!$M$3:$M$80,资产明细!$D$3:$D$80,配置调整!D$2)</f>
        <v>0.003377096092589</v>
      </c>
      <c r="E15" s="13">
        <f>=SUMIFS(资产明细!$M$3:$M$80,资产明细!$D$3:$D$80,配置调整!E$2,资产明细!$K$3:$K$80,配置调整!$B15)/SUMIFS(资产明细!$M$3:$M$80,资产明细!$D$3:$D$80,配置调整!E$2)</f>
        <v>0.003377096092589</v>
      </c>
      <c r="F15" s="13">
        <f>=SUMIFS(资产明细!$M$3:$M$80,资产明细!$D$3:$D$80,配置调整!F$2,资产明细!$K$3:$K$80,配置调整!$B15)/SUMIFS(资产明细!$M$3:$M$80,资产明细!$D$3:$D$80,配置调整!F$2)</f>
        <v>0.003377096092589</v>
      </c>
      <c r="G15" s="36">
        <f>=Sheet1!L14</f>
        <v>0.003377096092589</v>
      </c>
      <c r="H15" s="36">
        <f>=Sheet1!M14</f>
        <v>0.00000000492183243872519</v>
      </c>
      <c r="I15" s="36">
        <f>=Sheet1!N14</f>
        <v>0.0195306838179085</v>
      </c>
      <c r="J15" s="36">
        <f>=Sheet1!O14</f>
        <v>0.0086970601074557</v>
      </c>
      <c r="K15" s="37">
        <f>=G15</f>
        <v>0.003377096092589</v>
      </c>
      <c r="L15" s="37">
        <f>=H15</f>
        <v>0.00000000492183243872519</v>
      </c>
      <c r="M15" s="37">
        <f>=I15</f>
        <v>0.0195306838179085</v>
      </c>
      <c r="N15" s="37">
        <f>=J15</f>
        <v>0.0086970601074557</v>
      </c>
      <c r="O15" s="38">
        <f>=K15</f>
        <v>0.003377096092589</v>
      </c>
      <c r="P15" s="38">
        <f>=L15</f>
        <v>0.00000000492183243872519</v>
      </c>
      <c r="Q15" s="38">
        <f>=M15</f>
        <v>0.0195306838179085</v>
      </c>
      <c r="R15" s="38">
        <f>=N15</f>
        <v>0.0086970601074557</v>
      </c>
      <c r="S15" s="48">
        <v>0.18</v>
      </c>
      <c r="U15" s="9" t="s">
        <v>224</v>
      </c>
      <c r="V15" s="13">
        <v>0.0284872877927068</v>
      </c>
      <c r="W15" s="42">
        <v>0.0354430139312181</v>
      </c>
      <c r="X15" s="42">
        <v>0.035796</v>
      </c>
      <c r="Y15" s="42">
        <f>=W15-X15</f>
        <v>-0.000352986068781959</v>
      </c>
      <c r="Z15" s="13" t="s"/>
      <c r="AB15" s="9" t="s">
        <v>225</v>
      </c>
      <c r="AC15" s="13">
        <v>0.01601</v>
      </c>
    </row>
    <row r="16" spans="2:29">
      <c r="B16" s="9" t="s">
        <v>111</v>
      </c>
      <c r="C16" s="55">
        <v>0.08</v>
      </c>
      <c r="D16" s="13">
        <f>=SUMIFS(资产明细!$M$3:$M$80,资产明细!$D$3:$D$80,配置调整!D$2,资产明细!$K$3:$K$80,配置调整!$B16)/SUMIFS(资产明细!$M$3:$M$80,资产明细!$D$3:$D$80,配置调整!D$2)</f>
        <v>0.0047554240985219</v>
      </c>
      <c r="E16" s="13">
        <f>=SUMIFS(资产明细!$M$3:$M$80,资产明细!$D$3:$D$80,配置调整!E$2,资产明细!$K$3:$K$80,配置调整!$B16)/SUMIFS(资产明细!$M$3:$M$80,资产明细!$D$3:$D$80,配置调整!E$2)</f>
        <v>0.0047554240985219</v>
      </c>
      <c r="F16" s="13">
        <f>=SUMIFS(资产明细!$M$3:$M$80,资产明细!$D$3:$D$80,配置调整!F$2,资产明细!$K$3:$K$80,配置调整!$B16)/SUMIFS(资产明细!$M$3:$M$80,资产明细!$D$3:$D$80,配置调整!F$2)</f>
        <v>0.0047554240985219</v>
      </c>
      <c r="G16" s="36">
        <f>=Sheet1!L15</f>
        <v>0.0047554240985219</v>
      </c>
      <c r="H16" s="36">
        <f>=Sheet1!M15</f>
        <v>0.0273726118272159</v>
      </c>
      <c r="I16" s="36">
        <f>=Sheet1!N15</f>
        <v>0.0170120644387807</v>
      </c>
      <c r="J16" s="36">
        <f>=Sheet1!O15</f>
        <v>0.0563946609671155</v>
      </c>
      <c r="K16" s="37">
        <f>=G16</f>
        <v>0.0047554240985219</v>
      </c>
      <c r="L16" s="37">
        <f>=H16</f>
        <v>0.0273726118272159</v>
      </c>
      <c r="M16" s="37">
        <f>=I16</f>
        <v>0.0170120644387807</v>
      </c>
      <c r="N16" s="37">
        <f>=J16</f>
        <v>0.0563946609671155</v>
      </c>
      <c r="O16" s="38">
        <f>=K16</f>
        <v>0.0047554240985219</v>
      </c>
      <c r="P16" s="38">
        <f>=L16</f>
        <v>0.0273726118272159</v>
      </c>
      <c r="Q16" s="38">
        <f>=M16</f>
        <v>0.0170120644387807</v>
      </c>
      <c r="R16" s="38">
        <f>=N16</f>
        <v>0.0563946609671155</v>
      </c>
      <c r="S16" s="48">
        <f>=W13*0.9</f>
        <v>0.150615183562011</v>
      </c>
      <c r="U16" s="9" t="s">
        <v>123</v>
      </c>
      <c r="V16" s="13">
        <v>0.0664598038395183</v>
      </c>
      <c r="W16" s="42">
        <v>0.176499958546491</v>
      </c>
      <c r="X16" s="42">
        <v>0.173712</v>
      </c>
      <c r="Y16" s="42">
        <f>=W16-X16</f>
        <v>0.0027879585464905</v>
      </c>
      <c r="Z16" s="13" t="s"/>
      <c r="AB16" s="9" t="s">
        <v>226</v>
      </c>
      <c r="AC16" s="13">
        <v>0.01659</v>
      </c>
    </row>
    <row r="17" spans="2:29">
      <c r="B17" s="9" t="s">
        <v>114</v>
      </c>
      <c r="C17" s="55">
        <v>0.085</v>
      </c>
      <c r="D17" s="13">
        <f>=SUMIFS(资产明细!$M$3:$M$80,资产明细!$D$3:$D$80,配置调整!D$2,资产明细!$K$3:$K$80,配置调整!$B17)/SUMIFS(资产明细!$M$3:$M$80,资产明细!$D$3:$D$80,配置调整!D$2)</f>
        <v>0.0253775126673416</v>
      </c>
      <c r="E17" s="13">
        <f>=SUMIFS(资产明细!$M$3:$M$80,资产明细!$D$3:$D$80,配置调整!E$2,资产明细!$K$3:$K$80,配置调整!$B17)/SUMIFS(资产明细!$M$3:$M$80,资产明细!$D$3:$D$80,配置调整!E$2)</f>
        <v>0.0253775126673416</v>
      </c>
      <c r="F17" s="13">
        <f>=SUMIFS(资产明细!$M$3:$M$80,资产明细!$D$3:$D$80,配置调整!F$2,资产明细!$K$3:$K$80,配置调整!$B17)/SUMIFS(资产明细!$M$3:$M$80,资产明细!$D$3:$D$80,配置调整!F$2)</f>
        <v>0.0253775126673416</v>
      </c>
      <c r="G17" s="36">
        <f>=Sheet1!L16</f>
        <v>0.0253775126673416</v>
      </c>
      <c r="H17" s="36">
        <f>=Sheet1!M16</f>
        <v>0.0564123232359718</v>
      </c>
      <c r="I17" s="36">
        <f>=Sheet1!N16</f>
        <v>0.0370031463127471</v>
      </c>
      <c r="J17" s="36">
        <f>=Sheet1!O16</f>
        <v>0.0282988348784556</v>
      </c>
      <c r="K17" s="37">
        <f>=G17</f>
        <v>0.0253775126673416</v>
      </c>
      <c r="L17" s="37">
        <f>=H17</f>
        <v>0.0564123232359718</v>
      </c>
      <c r="M17" s="37">
        <f>=I17</f>
        <v>0.0370031463127471</v>
      </c>
      <c r="N17" s="37">
        <f>=J17</f>
        <v>0.0282988348784556</v>
      </c>
      <c r="O17" s="38">
        <f>=K17</f>
        <v>0.0253775126673416</v>
      </c>
      <c r="P17" s="38">
        <f>=L17</f>
        <v>0.0564123232359718</v>
      </c>
      <c r="Q17" s="38">
        <f>=M17</f>
        <v>0.0370031463127471</v>
      </c>
      <c r="R17" s="38">
        <f>=N17</f>
        <v>0.0282988348784556</v>
      </c>
      <c r="S17" s="48">
        <f>=W14*0.9</f>
        <v>0.203278797896525</v>
      </c>
      <c r="U17" s="9" t="s">
        <v>126</v>
      </c>
      <c r="V17" s="13">
        <v>0.0854460618629241</v>
      </c>
      <c r="W17" s="42">
        <v>0.224253765578297</v>
      </c>
      <c r="X17" s="42">
        <v>0.220681</v>
      </c>
      <c r="Y17" s="42">
        <f>=W17-X17</f>
        <v>0.003572765578297</v>
      </c>
      <c r="Z17" s="13" t="s"/>
      <c r="AB17" s="9" t="s">
        <v>227</v>
      </c>
      <c r="AC17" s="13">
        <v>0.016766</v>
      </c>
    </row>
    <row r="18" spans="2:29">
      <c r="B18" s="9" t="s">
        <v>117</v>
      </c>
      <c r="C18" s="55">
        <v>0.0284872877927068</v>
      </c>
      <c r="D18" s="13">
        <f>=SUMIFS(资产明细!$M$3:$M$80,资产明细!$D$3:$D$80,配置调整!D$2,资产明细!$K$3:$K$80,配置调整!$B18)/SUMIFS(资产明细!$M$3:$M$80,资产明细!$D$3:$D$80,配置调整!D$2)</f>
        <v>0.00001</v>
      </c>
      <c r="E18" s="13">
        <f>=SUMIFS(资产明细!$M$3:$M$80,资产明细!$D$3:$D$80,配置调整!E$2,资产明细!$K$3:$K$80,配置调整!$B18)/SUMIFS(资产明细!$M$3:$M$80,资产明细!$D$3:$D$80,配置调整!E$2)</f>
        <v>0.00001</v>
      </c>
      <c r="F18" s="13">
        <f>=SUMIFS(资产明细!$M$3:$M$80,资产明细!$D$3:$D$80,配置调整!F$2,资产明细!$K$3:$K$80,配置调整!$B18)/SUMIFS(资产明细!$M$3:$M$80,资产明细!$D$3:$D$80,配置调整!F$2)</f>
        <v>0.00001</v>
      </c>
      <c r="G18" s="36">
        <f>=Sheet1!L17</f>
        <v>0.00001</v>
      </c>
      <c r="H18" s="36">
        <f>=Sheet1!M17</f>
        <v>0.0003917331680521</v>
      </c>
      <c r="I18" s="36">
        <f>=Sheet1!N17</f>
        <v>0.000000177071710245108</v>
      </c>
      <c r="J18" s="36">
        <f>=Sheet1!O17</f>
        <v>0.0002912404449466</v>
      </c>
      <c r="K18" s="37">
        <f>=G18</f>
        <v>0.00001</v>
      </c>
      <c r="L18" s="37">
        <f>=H18</f>
        <v>0.0003917331680521</v>
      </c>
      <c r="M18" s="37">
        <f>=I18</f>
        <v>0.000000177071710245108</v>
      </c>
      <c r="N18" s="37">
        <f>=J18</f>
        <v>0.0002912404449466</v>
      </c>
      <c r="O18" s="38">
        <f>=K18</f>
        <v>0.00001</v>
      </c>
      <c r="P18" s="38">
        <f>=L18</f>
        <v>0.0003917331680521</v>
      </c>
      <c r="Q18" s="38">
        <f>=M18</f>
        <v>0.000000177071710245108</v>
      </c>
      <c r="R18" s="38">
        <f>=N18</f>
        <v>0.0002912404449466</v>
      </c>
      <c r="S18" s="48">
        <f>=W15</f>
        <v>0.0354430139312181</v>
      </c>
      <c r="U18" s="9" t="s">
        <v>129</v>
      </c>
      <c r="V18" s="13">
        <v>0.055</v>
      </c>
      <c r="W18" s="42">
        <v>0.169241677056302</v>
      </c>
      <c r="X18" s="42">
        <v>0.170314</v>
      </c>
      <c r="Y18" s="42">
        <f>=W18-X18</f>
        <v>-0.0010723229436978</v>
      </c>
      <c r="Z18" s="13" t="s"/>
      <c r="AB18" s="9" t="s">
        <v>228</v>
      </c>
      <c r="AC18" s="13">
        <v>0.016972</v>
      </c>
    </row>
    <row r="19" spans="2:29">
      <c r="B19" s="9" t="s">
        <v>120</v>
      </c>
      <c r="C19" s="55">
        <v>0.015</v>
      </c>
      <c r="D19" s="13">
        <f>=SUMIFS(资产明细!$M$3:$M$80,资产明细!$D$3:$D$80,配置调整!D$2,资产明细!$K$3:$K$80,配置调整!$B19)/SUMIFS(资产明细!$M$3:$M$80,资产明细!$D$3:$D$80,配置调整!D$2)</f>
        <v>0.00001</v>
      </c>
      <c r="E19" s="13">
        <f>=SUMIFS(资产明细!$M$3:$M$80,资产明细!$D$3:$D$80,配置调整!E$2,资产明细!$K$3:$K$80,配置调整!$B19)/SUMIFS(资产明细!$M$3:$M$80,资产明细!$D$3:$D$80,配置调整!E$2)</f>
        <v>0.00001</v>
      </c>
      <c r="F19" s="13">
        <f>=SUMIFS(资产明细!$M$3:$M$80,资产明细!$D$3:$D$80,配置调整!F$2,资产明细!$K$3:$K$80,配置调整!$B19)/SUMIFS(资产明细!$M$3:$M$80,资产明细!$D$3:$D$80,配置调整!F$2)</f>
        <v>0.00001</v>
      </c>
      <c r="G19" s="36">
        <f>=Sheet1!L18</f>
        <v>0.00001</v>
      </c>
      <c r="H19" s="36">
        <f>=Sheet1!M18</f>
        <v>0.00000000000000000000000000000000000000000000000000000000000000000000000000000000000000000000000000000000000000000000000000000000000000000105566488474222</v>
      </c>
      <c r="I19" s="36">
        <f>=Sheet1!N18</f>
        <v>0</v>
      </c>
      <c r="J19" s="36">
        <f>=Sheet1!O18</f>
        <v>0</v>
      </c>
      <c r="K19" s="37">
        <f>=G19</f>
        <v>0.00001</v>
      </c>
      <c r="L19" s="37">
        <f>=H19</f>
        <v>0.00000000000000000000000000000000000000000000000000000000000000000000000000000000000000000000000000000000000000000000000000000000000000000105566488474222</v>
      </c>
      <c r="M19" s="37">
        <f>=I19</f>
        <v>0</v>
      </c>
      <c r="N19" s="37">
        <f>=J19</f>
        <v>0</v>
      </c>
      <c r="O19" s="38">
        <f>=K19</f>
        <v>0.00001</v>
      </c>
      <c r="P19" s="38">
        <f>=L19</f>
        <v>0.00000000000000000000000000000000000000000000000000000000000000000000000000000000000000000000000000000000000000000000000000000000000000000105566488474222</v>
      </c>
      <c r="Q19" s="38">
        <f>=M19</f>
        <v>0</v>
      </c>
      <c r="R19" s="38">
        <f>=N19</f>
        <v>0</v>
      </c>
      <c r="S19" s="48">
        <v>0.005</v>
      </c>
      <c r="U19" s="9" t="s">
        <v>229</v>
      </c>
      <c r="V19" s="13">
        <v>0.05</v>
      </c>
      <c r="W19" s="42">
        <v>0.155558011192508</v>
      </c>
      <c r="X19" s="42">
        <v>0.155761</v>
      </c>
      <c r="Y19" s="42">
        <f>=W19-X19</f>
        <v>-0.000202988807491616</v>
      </c>
      <c r="Z19" s="13" t="s"/>
      <c r="AB19" s="9" t="s">
        <v>230</v>
      </c>
      <c r="AC19" s="13">
        <v>0.019189</v>
      </c>
    </row>
    <row r="20" spans="2:29">
      <c r="B20" s="9" t="s">
        <v>123</v>
      </c>
      <c r="C20" s="55">
        <v>0.05</v>
      </c>
      <c r="D20" s="13">
        <f>=SUMIFS(资产明细!$M$3:$M$80,资产明细!$D$3:$D$80,配置调整!D$2,资产明细!$K$3:$K$80,配置调整!$B20)/SUMIFS(资产明细!$M$3:$M$80,资产明细!$D$3:$D$80,配置调整!D$2)</f>
        <v>0.0107512470097193</v>
      </c>
      <c r="E20" s="13">
        <f>=SUMIFS(资产明细!$M$3:$M$80,资产明细!$D$3:$D$80,配置调整!E$2,资产明细!$K$3:$K$80,配置调整!$B20)/SUMIFS(资产明细!$M$3:$M$80,资产明细!$D$3:$D$80,配置调整!E$2)</f>
        <v>0.0107512470097193</v>
      </c>
      <c r="F20" s="13">
        <f>=SUMIFS(资产明细!$M$3:$M$80,资产明细!$D$3:$D$80,配置调整!F$2,资产明细!$K$3:$K$80,配置调整!$B20)/SUMIFS(资产明细!$M$3:$M$80,资产明细!$D$3:$D$80,配置调整!F$2)</f>
        <v>0.0107512470097193</v>
      </c>
      <c r="G20" s="36">
        <f>=Sheet1!L19</f>
        <v>0.0107512470097193</v>
      </c>
      <c r="H20" s="36">
        <f>=Sheet1!M19</f>
        <v>0</v>
      </c>
      <c r="I20" s="36">
        <f>=Sheet1!N19</f>
        <v>0.0000000000000000000000000000000000000000000000000000000000210062084849204</v>
      </c>
      <c r="J20" s="36">
        <f>=Sheet1!O19</f>
        <v>0</v>
      </c>
      <c r="K20" s="37">
        <f>=G20</f>
        <v>0.0107512470097193</v>
      </c>
      <c r="L20" s="37">
        <f>=H20</f>
        <v>0</v>
      </c>
      <c r="M20" s="37">
        <f>=I20</f>
        <v>0.0000000000000000000000000000000000000000000000000000000000210062084849204</v>
      </c>
      <c r="N20" s="37">
        <f>=J20</f>
        <v>0</v>
      </c>
      <c r="O20" s="38">
        <f>=K20</f>
        <v>0.0107512470097193</v>
      </c>
      <c r="P20" s="38">
        <f>=L20</f>
        <v>0</v>
      </c>
      <c r="Q20" s="38">
        <f>=M20</f>
        <v>0.0000000000000000000000000000000000000000000000000000000000210062084849204</v>
      </c>
      <c r="R20" s="38">
        <f>=N20</f>
        <v>0</v>
      </c>
      <c r="S20" s="48">
        <f>=W16*0.9</f>
        <v>0.158849962691841</v>
      </c>
      <c r="U20" s="9" t="s">
        <v>132</v>
      </c>
      <c r="V20" s="13">
        <v>0.104445498033982</v>
      </c>
      <c r="W20" s="42">
        <v>0.193023472261394</v>
      </c>
      <c r="X20" s="42">
        <v>0.194181</v>
      </c>
      <c r="Y20" s="42">
        <f>=W20-X20</f>
        <v>-0.0011575277386057</v>
      </c>
      <c r="Z20" s="13" t="s"/>
      <c r="AB20" s="9" t="s">
        <v>231</v>
      </c>
      <c r="AC20" s="13">
        <v>0.020266</v>
      </c>
    </row>
    <row r="21" spans="2:29">
      <c r="B21" s="9" t="s">
        <v>126</v>
      </c>
      <c r="C21" s="55">
        <v>0.055</v>
      </c>
      <c r="D21" s="13">
        <f>=SUMIFS(资产明细!$M$3:$M$80,资产明细!$D$3:$D$80,配置调整!D$2,资产明细!$K$3:$K$80,配置调整!$B21)/SUMIFS(资产明细!$M$3:$M$80,资产明细!$D$3:$D$80,配置调整!D$2)</f>
        <v>0.00001</v>
      </c>
      <c r="E21" s="13">
        <f>=SUMIFS(资产明细!$M$3:$M$80,资产明细!$D$3:$D$80,配置调整!E$2,资产明细!$K$3:$K$80,配置调整!$B21)/SUMIFS(资产明细!$M$3:$M$80,资产明细!$D$3:$D$80,配置调整!E$2)</f>
        <v>0.00001</v>
      </c>
      <c r="F21" s="13">
        <f>=SUMIFS(资产明细!$M$3:$M$80,资产明细!$D$3:$D$80,配置调整!F$2,资产明细!$K$3:$K$80,配置调整!$B21)/SUMIFS(资产明细!$M$3:$M$80,资产明细!$D$3:$D$80,配置调整!F$2)</f>
        <v>0.00001</v>
      </c>
      <c r="G21" s="36">
        <f>=Sheet1!L20</f>
        <v>0.00001</v>
      </c>
      <c r="H21" s="36">
        <f>=Sheet1!M20</f>
        <v>0.000000000417778061259576</v>
      </c>
      <c r="I21" s="36">
        <f>=Sheet1!N20</f>
        <v>0.000000192882939849187</v>
      </c>
      <c r="J21" s="36">
        <f>=Sheet1!O20</f>
        <v>0.0001002212181382</v>
      </c>
      <c r="K21" s="37">
        <f>=G21</f>
        <v>0.00001</v>
      </c>
      <c r="L21" s="37">
        <f>=H21</f>
        <v>0.000000000417778061259576</v>
      </c>
      <c r="M21" s="37">
        <f>=I21</f>
        <v>0.000000192882939849187</v>
      </c>
      <c r="N21" s="37">
        <f>=J21</f>
        <v>0.0001002212181382</v>
      </c>
      <c r="O21" s="38">
        <f>=K21</f>
        <v>0.00001</v>
      </c>
      <c r="P21" s="38">
        <f>=L21</f>
        <v>0.000000000417778061259576</v>
      </c>
      <c r="Q21" s="38">
        <f>=M21</f>
        <v>0.000000192882939849187</v>
      </c>
      <c r="R21" s="38">
        <f>=N21</f>
        <v>0.0001002212181382</v>
      </c>
      <c r="S21" s="48">
        <f>=S14</f>
        <v>0.165</v>
      </c>
      <c r="U21" s="9" t="s">
        <v>135</v>
      </c>
      <c r="V21" s="13">
        <v>0.105757777444871</v>
      </c>
      <c r="W21" s="42">
        <v>0.273831855454741</v>
      </c>
      <c r="X21" s="42">
        <v>0.27446</v>
      </c>
      <c r="Y21" s="42">
        <f>=W21-X21</f>
        <v>-0.000628144545259002</v>
      </c>
      <c r="Z21" s="13" t="s"/>
      <c r="AB21" s="9" t="s">
        <v>232</v>
      </c>
      <c r="AC21" s="13">
        <v>0.019334</v>
      </c>
    </row>
    <row r="22" spans="2:29">
      <c r="B22" s="9" t="s">
        <v>129</v>
      </c>
      <c r="C22" s="55">
        <v>0.043</v>
      </c>
      <c r="D22" s="13">
        <f>=SUMIFS(资产明细!$M$3:$M$80,资产明细!$D$3:$D$80,配置调整!D$2,资产明细!$K$3:$K$80,配置调整!$B22)/SUMIFS(资产明细!$M$3:$M$80,资产明细!$D$3:$D$80,配置调整!D$2)</f>
        <v>0.00001</v>
      </c>
      <c r="E22" s="13">
        <f>=SUMIFS(资产明细!$M$3:$M$80,资产明细!$D$3:$D$80,配置调整!E$2,资产明细!$K$3:$K$80,配置调整!$B22)/SUMIFS(资产明细!$M$3:$M$80,资产明细!$D$3:$D$80,配置调整!E$2)</f>
        <v>0.00001</v>
      </c>
      <c r="F22" s="13">
        <f>=SUMIFS(资产明细!$M$3:$M$80,资产明细!$D$3:$D$80,配置调整!F$2,资产明细!$K$3:$K$80,配置调整!$B22)/SUMIFS(资产明细!$M$3:$M$80,资产明细!$D$3:$D$80,配置调整!F$2)</f>
        <v>0.00001</v>
      </c>
      <c r="G22" s="36">
        <f>=Sheet1!L21</f>
        <v>0.00001</v>
      </c>
      <c r="H22" s="36">
        <f>=Sheet1!M21</f>
        <v>0.000000000000000000000000000000000000000000000000000000000000000000000000000000000000000000000000000000000000000000000000591245509699247</v>
      </c>
      <c r="I22" s="36">
        <f>=Sheet1!N21</f>
        <v>0.00000000000000000000000000000000000000000000000000000000000000000000000000000000000000000000000000000000000000000000000000000000000000000000000000000000000000000000000000000000000000000000000000000000000000000000000000000000000000000000000000000000000000000000000000000000154991445477839</v>
      </c>
      <c r="J22" s="36">
        <f>=Sheet1!O21</f>
        <v>0.000000000000000000000000000000000000000000000000000000000000000000000000000000000000000000000000000000000000000261973069907324</v>
      </c>
      <c r="K22" s="37">
        <f>=G22</f>
        <v>0.00001</v>
      </c>
      <c r="L22" s="37">
        <f>=H22</f>
        <v>0.000000000000000000000000000000000000000000000000000000000000000000000000000000000000000000000000000000000000000000000000591245509699247</v>
      </c>
      <c r="M22" s="37">
        <f>=I22</f>
        <v>0.00000000000000000000000000000000000000000000000000000000000000000000000000000000000000000000000000000000000000000000000000000000000000000000000000000000000000000000000000000000000000000000000000000000000000000000000000000000000000000000000000000000000000000000000000000000154991445477839</v>
      </c>
      <c r="N22" s="37">
        <f>=J22</f>
        <v>0.000000000000000000000000000000000000000000000000000000000000000000000000000000000000000000000000000000000000000261973069907324</v>
      </c>
      <c r="O22" s="38">
        <f>=K22</f>
        <v>0.00001</v>
      </c>
      <c r="P22" s="38">
        <f>=L22</f>
        <v>0.000000000000000000000000000000000000000000000000000000000000000000000000000000000000000000000000000000000000000000000000591245509699247</v>
      </c>
      <c r="Q22" s="38">
        <f>=M22</f>
        <v>0.00000000000000000000000000000000000000000000000000000000000000000000000000000000000000000000000000000000000000000000000000000000000000000000000000000000000000000000000000000000000000000000000000000000000000000000000000000000000000000000000000000000000000000000000000000000154991445477839</v>
      </c>
      <c r="R22" s="38">
        <f>=N22</f>
        <v>0.000000000000000000000000000000000000000000000000000000000000000000000000000000000000000000000000000000000000000261973069907324</v>
      </c>
      <c r="S22" s="48">
        <v>0.05</v>
      </c>
      <c r="U22" s="9" t="s">
        <v>139</v>
      </c>
      <c r="V22" s="13">
        <v>0.015</v>
      </c>
      <c r="W22" s="42">
        <v>0</v>
      </c>
      <c r="X22" s="42">
        <v>0</v>
      </c>
      <c r="Y22" s="42">
        <f>=W22-X22</f>
        <v>0</v>
      </c>
      <c r="Z22" s="13" t="s"/>
      <c r="AB22" s="9" t="s">
        <v>233</v>
      </c>
      <c r="AC22" s="13">
        <v>0.020239</v>
      </c>
    </row>
    <row r="23" spans="2:29">
      <c r="B23" s="9" t="s">
        <v>132</v>
      </c>
      <c r="C23" s="55">
        <v>0.05</v>
      </c>
      <c r="D23" s="13">
        <f>=SUMIFS(资产明细!$M$3:$M$80,资产明细!$D$3:$D$80,配置调整!D$2,资产明细!$K$3:$K$80,配置调整!$B23)/SUMIFS(资产明细!$M$3:$M$80,资产明细!$D$3:$D$80,配置调整!D$2)</f>
        <v>0.00001</v>
      </c>
      <c r="E23" s="13">
        <f>=SUMIFS(资产明细!$M$3:$M$80,资产明细!$D$3:$D$80,配置调整!E$2,资产明细!$K$3:$K$80,配置调整!$B23)/SUMIFS(资产明细!$M$3:$M$80,资产明细!$D$3:$D$80,配置调整!E$2)</f>
        <v>0.00001</v>
      </c>
      <c r="F23" s="13">
        <f>=SUMIFS(资产明细!$M$3:$M$80,资产明细!$D$3:$D$80,配置调整!F$2,资产明细!$K$3:$K$80,配置调整!$B23)/SUMIFS(资产明细!$M$3:$M$80,资产明细!$D$3:$D$80,配置调整!F$2)</f>
        <v>0.00001</v>
      </c>
      <c r="G23" s="36">
        <f>=Sheet1!L22</f>
        <v>0.00001</v>
      </c>
      <c r="H23" s="36">
        <f>=Sheet1!M22</f>
        <v>0</v>
      </c>
      <c r="I23" s="36">
        <f>=Sheet1!N22</f>
        <v>0.00000000000000000000000000000000000000000000000000172518746042628</v>
      </c>
      <c r="J23" s="36">
        <f>=Sheet1!O22</f>
        <v>0</v>
      </c>
      <c r="K23" s="37">
        <f>=G23</f>
        <v>0.00001</v>
      </c>
      <c r="L23" s="37">
        <f>=H23</f>
        <v>0</v>
      </c>
      <c r="M23" s="37">
        <f>=I23</f>
        <v>0.00000000000000000000000000000000000000000000000000172518746042628</v>
      </c>
      <c r="N23" s="37">
        <f>=J23</f>
        <v>0</v>
      </c>
      <c r="O23" s="38">
        <f>=K23</f>
        <v>0.00001</v>
      </c>
      <c r="P23" s="38">
        <f>=L23</f>
        <v>0</v>
      </c>
      <c r="Q23" s="38">
        <f>=M23</f>
        <v>0.00000000000000000000000000000000000000000000000000172518746042628</v>
      </c>
      <c r="R23" s="38">
        <f>=N23</f>
        <v>0</v>
      </c>
      <c r="S23" s="48">
        <v>0</v>
      </c>
      <c r="U23" s="9" t="s">
        <v>144</v>
      </c>
      <c r="V23" s="13">
        <v>0.028</v>
      </c>
      <c r="W23" s="42">
        <v>0.013</v>
      </c>
      <c r="X23" s="42">
        <v>0.014749</v>
      </c>
      <c r="Y23" s="42">
        <f>=W23-X23</f>
        <v>-0.001749</v>
      </c>
      <c r="Z23" s="13" t="s"/>
      <c r="AB23" s="9" t="s">
        <v>234</v>
      </c>
      <c r="AC23" s="13">
        <v>0.020315</v>
      </c>
    </row>
    <row r="24" spans="2:26">
      <c r="B24" s="9" t="s">
        <v>135</v>
      </c>
      <c r="C24" s="55">
        <v>0.086</v>
      </c>
      <c r="D24" s="13">
        <f>=SUMIFS(资产明细!$M$3:$M$80,资产明细!$D$3:$D$80,配置调整!D$2,资产明细!$K$3:$K$80,配置调整!$B24)/SUMIFS(资产明细!$M$3:$M$80,资产明细!$D$3:$D$80,配置调整!D$2)</f>
        <v>0.0062594927056794</v>
      </c>
      <c r="E24" s="13">
        <f>=SUMIFS(资产明细!$M$3:$M$80,资产明细!$D$3:$D$80,配置调整!E$2,资产明细!$K$3:$K$80,配置调整!$B24)/SUMIFS(资产明细!$M$3:$M$80,资产明细!$D$3:$D$80,配置调整!E$2)</f>
        <v>0.0062594927056794</v>
      </c>
      <c r="F24" s="13">
        <f>=SUMIFS(资产明细!$M$3:$M$80,资产明细!$D$3:$D$80,配置调整!F$2,资产明细!$K$3:$K$80,配置调整!$B24)/SUMIFS(资产明细!$M$3:$M$80,资产明细!$D$3:$D$80,配置调整!F$2)</f>
        <v>0.0062594927056794</v>
      </c>
      <c r="G24" s="36">
        <f>=Sheet1!L23</f>
        <v>0.0062594927056794</v>
      </c>
      <c r="H24" s="36">
        <f>=Sheet1!M23</f>
        <v>0.0150964299514174</v>
      </c>
      <c r="I24" s="36">
        <f>=Sheet1!N23</f>
        <v>0.0456743088025378</v>
      </c>
      <c r="J24" s="36">
        <f>=Sheet1!O23</f>
        <v>0.0677808886151154</v>
      </c>
      <c r="K24" s="37">
        <f>=G24</f>
        <v>0.0062594927056794</v>
      </c>
      <c r="L24" s="37">
        <f>=H24</f>
        <v>0.0150964299514174</v>
      </c>
      <c r="M24" s="37">
        <f>=I24</f>
        <v>0.0456743088025378</v>
      </c>
      <c r="N24" s="37">
        <f>=J24</f>
        <v>0.0677808886151154</v>
      </c>
      <c r="O24" s="38">
        <f>=K24</f>
        <v>0.0062594927056794</v>
      </c>
      <c r="P24" s="38">
        <f>=L24</f>
        <v>0.0150964299514174</v>
      </c>
      <c r="Q24" s="38">
        <f>=M24</f>
        <v>0.0456743088025378</v>
      </c>
      <c r="R24" s="38">
        <f>=N24</f>
        <v>0.0677808886151154</v>
      </c>
      <c r="S24" s="48">
        <v>0.18</v>
      </c>
      <c r="U24" s="9" t="s">
        <v>235</v>
      </c>
      <c r="V24" s="13">
        <v>0.0348160404671754</v>
      </c>
      <c r="W24" s="42">
        <v>0.0488669756888011</v>
      </c>
      <c r="X24" s="42">
        <v>0.049024</v>
      </c>
      <c r="Y24" s="42">
        <f>=W24-X24</f>
        <v>-0.000157024311198947</v>
      </c>
      <c r="Z24" s="13" t="s"/>
    </row>
    <row r="25" spans="2:26">
      <c r="B25" s="33" t="s">
        <v>137</v>
      </c>
      <c r="C25" s="55">
        <v>0.0348160404671754</v>
      </c>
      <c r="D25" s="13">
        <f>=SUMIFS(资产明细!$M$3:$M$80,资产明细!$D$3:$D$80,配置调整!D$2,资产明细!$K$3:$K$80,配置调整!$B25)/SUMIFS(资产明细!$M$3:$M$80,资产明细!$D$3:$D$80,配置调整!D$2)</f>
        <v>0.100468946606944</v>
      </c>
      <c r="E25" s="13">
        <f>=SUMIFS(资产明细!$M$3:$M$80,资产明细!$D$3:$D$80,配置调整!E$2,资产明细!$K$3:$K$80,配置调整!$B25)/SUMIFS(资产明细!$M$3:$M$80,资产明细!$D$3:$D$80,配置调整!E$2)</f>
        <v>0.100468946606944</v>
      </c>
      <c r="F25" s="13">
        <f>=SUMIFS(资产明细!$M$3:$M$80,资产明细!$D$3:$D$80,配置调整!F$2,资产明细!$K$3:$K$80,配置调整!$B25)/SUMIFS(资产明细!$M$3:$M$80,资产明细!$D$3:$D$80,配置调整!F$2)</f>
        <v>0.100468946606944</v>
      </c>
      <c r="G25" s="36">
        <f>=Sheet1!L24</f>
        <v>0.100468946606944</v>
      </c>
      <c r="H25" s="36">
        <f>=Sheet1!M24</f>
        <v>0.0742576338740339</v>
      </c>
      <c r="I25" s="36">
        <f>=Sheet1!N24</f>
        <v>0.0627307949351763</v>
      </c>
      <c r="J25" s="36">
        <f>=Sheet1!O24</f>
        <v>0.0098338199458856</v>
      </c>
      <c r="K25" s="37">
        <f>=G25</f>
        <v>0.100468946606944</v>
      </c>
      <c r="L25" s="37">
        <f>=H25</f>
        <v>0.0742576338740339</v>
      </c>
      <c r="M25" s="37">
        <f>=I25</f>
        <v>0.0627307949351763</v>
      </c>
      <c r="N25" s="37">
        <f>=J25</f>
        <v>0.0098338199458856</v>
      </c>
      <c r="O25" s="38">
        <f>=K25</f>
        <v>0.100468946606944</v>
      </c>
      <c r="P25" s="38">
        <f>=L25</f>
        <v>0.0742576338740339</v>
      </c>
      <c r="Q25" s="38">
        <f>=M25</f>
        <v>0.0627307949351763</v>
      </c>
      <c r="R25" s="38">
        <f>=N25</f>
        <v>0.0098338199458856</v>
      </c>
      <c r="S25" s="48">
        <f>=W24</f>
        <v>0.0488669756888011</v>
      </c>
      <c r="U25" s="9" t="s">
        <v>146</v>
      </c>
      <c r="V25" s="13">
        <v>0.065</v>
      </c>
      <c r="W25" s="42">
        <v>0.0763518396134835</v>
      </c>
      <c r="X25" s="42">
        <v>0.076668</v>
      </c>
      <c r="Y25" s="42">
        <f>=W25-X25</f>
        <v>-0.000316160386516495</v>
      </c>
      <c r="Z25" s="13" t="s"/>
    </row>
    <row r="26" spans="2:26">
      <c r="B26" s="9" t="s">
        <v>139</v>
      </c>
      <c r="C26" s="55">
        <v>0.015</v>
      </c>
      <c r="D26" s="13">
        <f>=SUMIFS(资产明细!$M$3:$M$80,资产明细!$D$3:$D$80,配置调整!D$2,资产明细!$K$3:$K$80,配置调整!$B26)/SUMIFS(资产明细!$M$3:$M$80,资产明细!$D$3:$D$80,配置调整!D$2)</f>
        <v>0.0310237080178852</v>
      </c>
      <c r="E26" s="13">
        <f>=SUMIFS(资产明细!$M$3:$M$80,资产明细!$D$3:$D$80,配置调整!E$2,资产明细!$K$3:$K$80,配置调整!$B26)/SUMIFS(资产明细!$M$3:$M$80,资产明细!$D$3:$D$80,配置调整!E$2)</f>
        <v>0.0310237080178852</v>
      </c>
      <c r="F26" s="13">
        <f>=SUMIFS(资产明细!$M$3:$M$80,资产明细!$D$3:$D$80,配置调整!F$2,资产明细!$K$3:$K$80,配置调整!$B26)/SUMIFS(资产明细!$M$3:$M$80,资产明细!$D$3:$D$80,配置调整!F$2)</f>
        <v>0.0310237080178852</v>
      </c>
      <c r="G26" s="36">
        <f>=Sheet1!L25</f>
        <v>0.0310237080178852</v>
      </c>
      <c r="H26" s="36">
        <f>=Sheet1!M25</f>
        <v>0.0183049820487512</v>
      </c>
      <c r="I26" s="36">
        <f>=Sheet1!N25</f>
        <v>0.0246128596766742</v>
      </c>
      <c r="J26" s="36">
        <f>=Sheet1!O25</f>
        <v>0.0141219543588812</v>
      </c>
      <c r="K26" s="37">
        <f>=G26</f>
        <v>0.0310237080178852</v>
      </c>
      <c r="L26" s="37">
        <f>=H26</f>
        <v>0.0183049820487512</v>
      </c>
      <c r="M26" s="37">
        <f>=I26</f>
        <v>0.0246128596766742</v>
      </c>
      <c r="N26" s="37">
        <f>=J26</f>
        <v>0.0141219543588812</v>
      </c>
      <c r="O26" s="38">
        <f>=K26</f>
        <v>0.0310237080178852</v>
      </c>
      <c r="P26" s="38">
        <f>=L26</f>
        <v>0.0183049820487512</v>
      </c>
      <c r="Q26" s="38">
        <f>=M26</f>
        <v>0.0246128596766742</v>
      </c>
      <c r="R26" s="38">
        <f>=N26</f>
        <v>0.0141219543588812</v>
      </c>
      <c r="S26" s="48">
        <f>=W22</f>
        <v>0</v>
      </c>
      <c r="U26" s="9" t="s">
        <v>236</v>
      </c>
      <c r="V26" s="13">
        <v>0.0727885565139869</v>
      </c>
      <c r="W26" s="42">
        <v>0.178294353963681</v>
      </c>
      <c r="X26" s="42">
        <v>0.176597</v>
      </c>
      <c r="Y26" s="42">
        <f>=W26-X26</f>
        <v>0.00169735396368101</v>
      </c>
      <c r="Z26" s="13" t="s"/>
    </row>
    <row r="27" spans="2:19">
      <c r="B27" s="33" t="s">
        <v>141</v>
      </c>
      <c r="C27" s="36">
        <v>0.0316516641299411</v>
      </c>
      <c r="D27" s="13">
        <f>=SUMIFS(资产明细!$M$3:$M$80,资产明细!$D$3:$D$80,配置调整!D$2,资产明细!$K$3:$K$80,配置调整!$B27)/SUMIFS(资产明细!$M$3:$M$80,资产明细!$D$3:$D$80,配置调整!D$2)</f>
        <v>0.122507759143888</v>
      </c>
      <c r="E27" s="13">
        <f>=SUMIFS(资产明细!$M$3:$M$80,资产明细!$D$3:$D$80,配置调整!E$2,资产明细!$K$3:$K$80,配置调整!$B27)/SUMIFS(资产明细!$M$3:$M$80,资产明细!$D$3:$D$80,配置调整!E$2)</f>
        <v>0.122507759143888</v>
      </c>
      <c r="F27" s="13">
        <f>=SUMIFS(资产明细!$M$3:$M$80,资产明细!$D$3:$D$80,配置调整!F$2,资产明细!$K$3:$K$80,配置调整!$B27)/SUMIFS(资产明细!$M$3:$M$80,资产明细!$D$3:$D$80,配置调整!F$2)</f>
        <v>0.122507759143888</v>
      </c>
      <c r="G27" s="36">
        <f>=Sheet1!L26</f>
        <v>0.122507759143888</v>
      </c>
      <c r="H27" s="36">
        <f>=Sheet1!M26</f>
        <v>0.132502041403327</v>
      </c>
      <c r="I27" s="36">
        <f>=Sheet1!N26</f>
        <v>0.105108007989367</v>
      </c>
      <c r="J27" s="36">
        <f>=Sheet1!O26</f>
        <v>0.202772539402009</v>
      </c>
      <c r="K27" s="37">
        <f>=G27</f>
        <v>0.122507759143888</v>
      </c>
      <c r="L27" s="37">
        <f>=H27</f>
        <v>0.132502041403327</v>
      </c>
      <c r="M27" s="37">
        <f>=I27</f>
        <v>0.105108007989367</v>
      </c>
      <c r="N27" s="37">
        <f>=J27</f>
        <v>0.202772539402009</v>
      </c>
      <c r="O27" s="38">
        <f>=K27</f>
        <v>0.122507759143888</v>
      </c>
      <c r="P27" s="38">
        <f>=L27</f>
        <v>0.132502041403327</v>
      </c>
      <c r="Q27" s="38">
        <f>=M27</f>
        <v>0.105108007989367</v>
      </c>
      <c r="R27" s="38">
        <f>=N27</f>
        <v>0.202772539402009</v>
      </c>
      <c r="S27" s="48">
        <f>=0.5*W15+0.5*W24</f>
        <v>0.0421549948100096</v>
      </c>
    </row>
    <row r="28" spans="2:19">
      <c r="B28" s="33" t="s">
        <v>144</v>
      </c>
      <c r="C28" s="55">
        <v>0.028</v>
      </c>
      <c r="D28" s="13">
        <f>=SUMIFS(资产明细!$M$3:$M$80,资产明细!$D$3:$D$80,配置调整!D$2,资产明细!$K$3:$K$80,配置调整!$B28)/SUMIFS(资产明细!$M$3:$M$80,资产明细!$D$3:$D$80,配置调整!D$2)</f>
        <v>0.0449411430932085</v>
      </c>
      <c r="E28" s="13">
        <f>=SUMIFS(资产明细!$M$3:$M$80,资产明细!$D$3:$D$80,配置调整!E$2,资产明细!$K$3:$K$80,配置调整!$B28)/SUMIFS(资产明细!$M$3:$M$80,资产明细!$D$3:$D$80,配置调整!E$2)</f>
        <v>0.0449411430932085</v>
      </c>
      <c r="F28" s="13">
        <f>=SUMIFS(资产明细!$M$3:$M$80,资产明细!$D$3:$D$80,配置调整!F$2,资产明细!$K$3:$K$80,配置调整!$B28)/SUMIFS(资产明细!$M$3:$M$80,资产明细!$D$3:$D$80,配置调整!F$2)</f>
        <v>0.0449411430932085</v>
      </c>
      <c r="G28" s="36">
        <f>=Sheet1!L27</f>
        <v>0.0449411430932085</v>
      </c>
      <c r="H28" s="36">
        <f>=Sheet1!M27</f>
        <v>0.0268460107332999</v>
      </c>
      <c r="I28" s="36">
        <f>=Sheet1!N27</f>
        <v>0.0232477650263667</v>
      </c>
      <c r="J28" s="36">
        <f>=Sheet1!O27</f>
        <v>0.0283054282924598</v>
      </c>
      <c r="K28" s="37">
        <f>=G28</f>
        <v>0.0449411430932085</v>
      </c>
      <c r="L28" s="37">
        <f>=H28</f>
        <v>0.0268460107332999</v>
      </c>
      <c r="M28" s="37">
        <f>=I28</f>
        <v>0.0232477650263667</v>
      </c>
      <c r="N28" s="37">
        <f>=J28</f>
        <v>0.0283054282924598</v>
      </c>
      <c r="O28" s="38">
        <f>=K28</f>
        <v>0.0449411430932085</v>
      </c>
      <c r="P28" s="38">
        <f>=L28</f>
        <v>0.0268460107332999</v>
      </c>
      <c r="Q28" s="38">
        <f>=M28</f>
        <v>0.0232477650263667</v>
      </c>
      <c r="R28" s="38">
        <f>=N28</f>
        <v>0.0283054282924598</v>
      </c>
      <c r="S28" s="48">
        <f>=W23</f>
        <v>0.013</v>
      </c>
    </row>
    <row r="29" spans="2:19">
      <c r="B29" s="9" t="s">
        <v>146</v>
      </c>
      <c r="C29" s="55">
        <v>0.065</v>
      </c>
      <c r="D29" s="13">
        <f>=SUMIFS(资产明细!$M$3:$M$80,资产明细!$D$3:$D$80,配置调整!D$2,资产明细!$K$3:$K$80,配置调整!$B29)/SUMIFS(资产明细!$M$3:$M$80,资产明细!$D$3:$D$80,配置调整!D$2)</f>
        <v>0.0976378283669178</v>
      </c>
      <c r="E29" s="13">
        <f>=SUMIFS(资产明细!$M$3:$M$80,资产明细!$D$3:$D$80,配置调整!E$2,资产明细!$K$3:$K$80,配置调整!$B29)/SUMIFS(资产明细!$M$3:$M$80,资产明细!$D$3:$D$80,配置调整!E$2)</f>
        <v>0.0976378283669178</v>
      </c>
      <c r="F29" s="13">
        <f>=SUMIFS(资产明细!$M$3:$M$80,资产明细!$D$3:$D$80,配置调整!F$2,资产明细!$K$3:$K$80,配置调整!$B29)/SUMIFS(资产明细!$M$3:$M$80,资产明细!$D$3:$D$80,配置调整!F$2)</f>
        <v>0.0976378283669178</v>
      </c>
      <c r="G29" s="36">
        <f>=Sheet1!L28</f>
        <v>0.0976378283669178</v>
      </c>
      <c r="H29" s="36">
        <f>=Sheet1!M28</f>
        <v>0.0820261927724009</v>
      </c>
      <c r="I29" s="36">
        <f>=Sheet1!N28</f>
        <v>0.0930306240128785</v>
      </c>
      <c r="J29" s="36">
        <f>=Sheet1!O28</f>
        <v>0.094949232391229</v>
      </c>
      <c r="K29" s="37">
        <f>=G29</f>
        <v>0.0976378283669178</v>
      </c>
      <c r="L29" s="37">
        <f>=H29</f>
        <v>0.0820261927724009</v>
      </c>
      <c r="M29" s="37">
        <f>=I29</f>
        <v>0.0930306240128785</v>
      </c>
      <c r="N29" s="37">
        <f>=J29</f>
        <v>0.094949232391229</v>
      </c>
      <c r="O29" s="38">
        <f>=K29</f>
        <v>0.0976378283669178</v>
      </c>
      <c r="P29" s="38">
        <f>=L29</f>
        <v>0.0820261927724009</v>
      </c>
      <c r="Q29" s="38">
        <f>=M29</f>
        <v>0.0930306240128785</v>
      </c>
      <c r="R29" s="38">
        <f>=N29</f>
        <v>0.094949232391229</v>
      </c>
      <c r="S29" s="48">
        <v>0.07</v>
      </c>
    </row>
    <row r="30" spans="4:18">
      <c r="D30" s="13">
        <f>=SUM(D4:D29)</f>
        <v>1</v>
      </c>
      <c r="E30" s="13">
        <f>=SUM(E4:E29)</f>
        <v>1</v>
      </c>
      <c r="F30" s="13">
        <f>=SUM(F4:F29)</f>
        <v>1</v>
      </c>
      <c r="G30" s="9">
        <f>=SUM(G4:G29)</f>
        <v>1</v>
      </c>
      <c r="H30" s="9">
        <v>1</v>
      </c>
      <c r="I30" s="9">
        <v>1</v>
      </c>
      <c r="J30" s="9">
        <v>1</v>
      </c>
      <c r="K30" s="9">
        <f>=SUM(K4:K29)</f>
        <v>1</v>
      </c>
      <c r="L30" s="9">
        <v>1</v>
      </c>
      <c r="M30" s="9">
        <v>1</v>
      </c>
      <c r="N30" s="9">
        <v>1</v>
      </c>
      <c r="O30" s="9">
        <f>=SUM(O4:O29)</f>
        <v>1</v>
      </c>
      <c r="P30" s="9">
        <v>1</v>
      </c>
      <c r="Q30" s="9">
        <v>1</v>
      </c>
      <c r="R30" s="9">
        <v>1</v>
      </c>
    </row>
    <row r="33" spans="11:11">
      <c r="K33" s="67">
        <v>2245192076.73</v>
      </c>
    </row>
    <row r="34" spans="11:11">
      <c r="K34" s="67">
        <v>-20550782696.64</v>
      </c>
    </row>
    <row r="35" spans="11:11">
      <c r="K35" s="68">
        <f>=K33-K34</f>
        <v>22795974773.37</v>
      </c>
    </row>
    <row r="36" spans="11:11">
      <c r="K36" s="10">
        <v>26751843124.24</v>
      </c>
    </row>
    <row r="37" spans="11:11">
      <c r="K37" s="9">
        <v>1.12836574865639</v>
      </c>
    </row>
  </sheetData>
  <conditionalFormatting sqref="D4:D29">
    <cfRule type="colorScale" priority="1">
      <colorScale>
        <cfvo type="min"/>
        <cfvo type="percentile" val="50"/>
        <cfvo type="max"/>
        <color rgb="FF63BE7B"/>
        <color rgb="FFFFEB84"/>
        <color rgb="FFF8696B"/>
      </colorScale>
    </cfRule>
  </conditionalFormatting>
  <pageMargins left="0.7" right="0.7" top="0.75" bottom="0.75" header="0.3" footer="0.3"/>
  <legacyDrawing r:id="rId2"/>
</worksheet>
</file>

<file path=xl/worksheets/sheet3.xml><?xml version="1.0" encoding="utf-8"?>
<worksheet xmlns:r="http://schemas.openxmlformats.org/officeDocument/2006/relationships" xmlns="http://schemas.openxmlformats.org/spreadsheetml/2006/main">
  <sheetPr/>
  <dimension ref="V29"/>
  <sheetViews>
    <sheetView showGridLines="1" workbookViewId="0"/>
  </sheetViews>
  <sheetFormatPr baseColWidth="8" defaultRowHeight="14.25"/>
  <cols>
    <col min="13" max="13" width="11.625" style="153" customWidth="1"/>
  </cols>
  <sheetData>
    <row r="1" spans="4:22">
      <c r="D1" s="9">
        <v>1231</v>
      </c>
      <c r="L1" s="9">
        <v>0</v>
      </c>
      <c r="M1" s="69">
        <v>1</v>
      </c>
      <c r="N1" s="69">
        <v>2</v>
      </c>
      <c r="O1" s="69">
        <v>3</v>
      </c>
      <c r="T1" s="9">
        <v>6844</v>
      </c>
      <c r="U1" s="9">
        <v>5280</v>
      </c>
      <c r="V1" s="9">
        <v>75</v>
      </c>
    </row>
    <row r="2" spans="2:22">
      <c r="B2" s="9" t="s">
        <v>10</v>
      </c>
      <c r="C2" s="5" t="s">
        <v>24</v>
      </c>
      <c r="D2" s="9" t="s">
        <v>24</v>
      </c>
      <c r="G2" s="9" t="s">
        <v>206</v>
      </c>
      <c r="H2" s="9" t="s">
        <v>206</v>
      </c>
      <c r="L2" s="70">
        <f>=SUM(L3:L28)</f>
        <v>1</v>
      </c>
      <c r="M2" s="70">
        <f>=SUM(M3:M28)</f>
        <v>0.999999999999999</v>
      </c>
      <c r="N2" s="70">
        <f>=SUM(N3:N28)</f>
        <v>0.999999999999999</v>
      </c>
      <c r="O2" s="70">
        <f>=SUM(O3:O28)</f>
        <v>0.999999999999999</v>
      </c>
      <c r="P2" s="70" t="s"/>
      <c r="S2" s="9">
        <v>0</v>
      </c>
      <c r="T2" s="9">
        <v>1</v>
      </c>
      <c r="U2" s="9">
        <v>2</v>
      </c>
      <c r="V2" s="9">
        <v>3</v>
      </c>
    </row>
    <row r="3" spans="2:22">
      <c r="B3" s="9" t="s">
        <v>66</v>
      </c>
      <c r="C3" s="34">
        <v>0.015636</v>
      </c>
      <c r="D3" s="13">
        <v>0.011872</v>
      </c>
      <c r="E3" s="9">
        <v>0.015636</v>
      </c>
      <c r="G3" s="9">
        <v>0.0162120631512454</v>
      </c>
      <c r="H3" s="9">
        <v>0.0162120631512454</v>
      </c>
      <c r="J3" s="9" t="s">
        <v>66</v>
      </c>
      <c r="K3" s="71">
        <v>0.140568180698503</v>
      </c>
      <c r="L3" s="13">
        <f>=IF(VLOOKUP(J3,$R$3:$W$28,2,0)&lt;0.09%,0.001%,VLOOKUP(J3,$R$3:$W$28,2,0))</f>
        <v>0.0036988282708286</v>
      </c>
      <c r="M3" s="70">
        <f>=VLOOKUP($J3,$R$3:$V$28,3,0)</f>
        <v>0.0182508432682007</v>
      </c>
      <c r="N3" s="70">
        <f>=VLOOKUP($J3,$R$3:$V$28,4,0)</f>
        <v>0.0240325332166414</v>
      </c>
      <c r="O3" s="70">
        <f>=VLOOKUP($J3,$R$3:$V$28,5,0)</f>
        <v>0.0049270318738296</v>
      </c>
      <c r="P3" s="70" t="s"/>
      <c r="Q3" s="13" t="s"/>
      <c r="R3" s="9" t="s">
        <v>103</v>
      </c>
      <c r="S3" s="13">
        <v>0.0008024741702305</v>
      </c>
      <c r="T3" s="13">
        <v>0.0030906250747803</v>
      </c>
      <c r="U3" s="13">
        <v>0.0231956119485384</v>
      </c>
      <c r="V3" s="13">
        <v>0.0001379720787222</v>
      </c>
    </row>
    <row r="4" spans="2:22">
      <c r="B4" s="9" t="s">
        <v>75</v>
      </c>
      <c r="C4" s="34">
        <v>0.018388</v>
      </c>
      <c r="D4" s="13">
        <v>0.014152</v>
      </c>
      <c r="E4" s="9">
        <v>0.018388</v>
      </c>
      <c r="G4" s="9">
        <v>0.023841535372341</v>
      </c>
      <c r="H4" s="9">
        <v>0.023841535372341</v>
      </c>
      <c r="J4" s="9" t="s">
        <v>75</v>
      </c>
      <c r="K4" s="71">
        <v>0.0230407592691351</v>
      </c>
      <c r="L4" s="13">
        <f>=IF(VLOOKUP(J4,$R$3:$W$28,2,0)&lt;0.09%,0.001%,VLOOKUP(J4,$R$3:$W$28,2,0))</f>
        <v>0.0077904802849662</v>
      </c>
      <c r="M4" s="70">
        <f>=VLOOKUP($J4,$R$3:$V$28,3,0)</f>
        <v>0.034165383532113</v>
      </c>
      <c r="N4" s="70">
        <f>=VLOOKUP($J4,$R$3:$V$28,4,0)</f>
        <v>0.00251157480767</v>
      </c>
      <c r="O4" s="70">
        <f>=VLOOKUP($J4,$R$3:$V$28,5,0)</f>
        <v>0.0020925843994497</v>
      </c>
      <c r="P4" s="70" t="s"/>
      <c r="Q4" s="13" t="s"/>
      <c r="R4" s="9" t="s">
        <v>108</v>
      </c>
      <c r="S4" s="13">
        <v>0.003377096092589</v>
      </c>
      <c r="T4" s="13">
        <v>0.00000000492183243872519</v>
      </c>
      <c r="U4" s="13">
        <v>0.0195306838179085</v>
      </c>
      <c r="V4" s="13">
        <v>0.0086970601074557</v>
      </c>
    </row>
    <row r="5" spans="2:22">
      <c r="B5" s="9" t="s">
        <v>77</v>
      </c>
      <c r="C5" s="34">
        <v>0.02186</v>
      </c>
      <c r="D5" s="13">
        <v>0.016752</v>
      </c>
      <c r="E5" s="9">
        <v>0.021518</v>
      </c>
      <c r="G5" s="9">
        <v>0.0463831185968477</v>
      </c>
      <c r="H5" s="9">
        <v>0.0463831185968477</v>
      </c>
      <c r="J5" s="9" t="s">
        <v>77</v>
      </c>
      <c r="K5" s="71">
        <v>0.001</v>
      </c>
      <c r="L5" s="13">
        <f>=IF(VLOOKUP(J5,$R$3:$W$28,2,0)&lt;0.09%,0.001%,VLOOKUP(J5,$R$3:$W$28,2,0))</f>
        <v>0.0324966540302528</v>
      </c>
      <c r="M5" s="70">
        <f>=VLOOKUP($J5,$R$3:$V$28,3,0)</f>
        <v>0.0000703209203817021</v>
      </c>
      <c r="N5" s="70">
        <f>=VLOOKUP($J5,$R$3:$V$28,4,0)</f>
        <v>0.030616003586082</v>
      </c>
      <c r="O5" s="70">
        <f>=VLOOKUP($J5,$R$3:$V$28,5,0)</f>
        <v>0.0137354487370547</v>
      </c>
      <c r="P5" s="70" t="s"/>
      <c r="Q5" s="13" t="s"/>
      <c r="R5" s="9" t="s">
        <v>111</v>
      </c>
      <c r="S5" s="13">
        <v>0.0047554240985219</v>
      </c>
      <c r="T5" s="13">
        <v>0.0273726118272159</v>
      </c>
      <c r="U5" s="13">
        <v>0.0170120644387807</v>
      </c>
      <c r="V5" s="13">
        <v>0.0563946609671155</v>
      </c>
    </row>
    <row r="6" spans="2:22">
      <c r="B6" s="9" t="s">
        <v>79</v>
      </c>
      <c r="C6" s="34">
        <v>0.0236</v>
      </c>
      <c r="D6" s="13">
        <v>0.019747</v>
      </c>
      <c r="E6" s="9">
        <v>0.0236</v>
      </c>
      <c r="G6" s="9">
        <v>0.0881133888393955</v>
      </c>
      <c r="H6" s="9">
        <v>0.0881133888393955</v>
      </c>
      <c r="J6" s="9" t="s">
        <v>79</v>
      </c>
      <c r="K6" s="71">
        <v>0.230831737440477</v>
      </c>
      <c r="L6" s="13">
        <f>=IF(VLOOKUP(J6,$R$3:$W$28,2,0)&lt;0.09%,0.001%,VLOOKUP(J6,$R$3:$W$28,2,0))</f>
        <v>0.142120887216312</v>
      </c>
      <c r="M6" s="70">
        <f>=VLOOKUP($J6,$R$3:$V$28,3,0)</f>
        <v>0.157464746834564</v>
      </c>
      <c r="N6" s="70">
        <f>=VLOOKUP($J6,$R$3:$V$28,4,0)</f>
        <v>0.292979068467695</v>
      </c>
      <c r="O6" s="70">
        <f>=VLOOKUP($J6,$R$3:$V$28,5,0)</f>
        <v>0.228350414226373</v>
      </c>
      <c r="P6" s="70" t="s"/>
      <c r="Q6" s="13" t="s"/>
      <c r="R6" s="9" t="s">
        <v>114</v>
      </c>
      <c r="S6" s="13">
        <v>0.0253775126673416</v>
      </c>
      <c r="T6" s="13">
        <v>0.0564123232359718</v>
      </c>
      <c r="U6" s="13">
        <v>0.0370031463127471</v>
      </c>
      <c r="V6" s="13">
        <v>0.0282988348784556</v>
      </c>
    </row>
    <row r="7" spans="2:22">
      <c r="B7" s="9" t="s">
        <v>81</v>
      </c>
      <c r="C7" s="34">
        <v>0.0238</v>
      </c>
      <c r="D7" s="13">
        <v>0.019875</v>
      </c>
      <c r="E7" s="9">
        <v>0.0238</v>
      </c>
      <c r="G7" s="9">
        <v>0.169943841361088</v>
      </c>
      <c r="H7" s="9">
        <v>0.169943841361088</v>
      </c>
      <c r="J7" s="9" t="s">
        <v>81</v>
      </c>
      <c r="K7" s="71">
        <f>=1-SUM(K3:K6)-SUM(K8:K28)</f>
        <v>0.11267767544834</v>
      </c>
      <c r="L7" s="36">
        <f>=1-SUM(L3:L6)-SUM(L8:L28)</f>
        <v>0.206147675480299</v>
      </c>
      <c r="M7" s="70">
        <f>=VLOOKUP($J7,$R$3:$V$28,3,0)</f>
        <v>0.204314441993768</v>
      </c>
      <c r="N7" s="70">
        <f>=VLOOKUP($J7,$R$3:$V$28,4,0)</f>
        <v>0.138352959011897</v>
      </c>
      <c r="O7" s="70">
        <f>=VLOOKUP($J7,$R$3:$V$28,5,0)</f>
        <v>0.173154481526647</v>
      </c>
      <c r="P7" s="70" t="s"/>
      <c r="Q7" s="13" t="s"/>
      <c r="R7" s="9" t="s">
        <v>146</v>
      </c>
      <c r="S7" s="13">
        <v>0.0976378283669178</v>
      </c>
      <c r="T7" s="13">
        <v>0.0820261927724009</v>
      </c>
      <c r="U7" s="13">
        <v>0.0930306240128785</v>
      </c>
      <c r="V7" s="13">
        <v>0.094949232391229</v>
      </c>
    </row>
    <row r="8" spans="2:22">
      <c r="B8" s="9" t="s">
        <v>86</v>
      </c>
      <c r="C8" s="34">
        <v>0.023248</v>
      </c>
      <c r="D8" s="13">
        <v>0.017501</v>
      </c>
      <c r="E8" s="9">
        <v>0.023248</v>
      </c>
      <c r="G8" s="9">
        <v>0.0239672057005417</v>
      </c>
      <c r="H8" s="9">
        <v>0.0239672057005417</v>
      </c>
      <c r="J8" s="9" t="s">
        <v>86</v>
      </c>
      <c r="K8" s="71">
        <v>0.001</v>
      </c>
      <c r="L8" s="13">
        <f>=IF(VLOOKUP(J8,$R$3:$W$28,2,0)&lt;0.09%,0.001%,VLOOKUP(J8,$R$3:$W$28,2,0))</f>
        <v>0.0679775847971227</v>
      </c>
      <c r="M8" s="70">
        <f>=VLOOKUP($J8,$R$3:$V$28,3,0)</f>
        <v>0.065288002218044</v>
      </c>
      <c r="N8" s="70">
        <f>=VLOOKUP($J8,$R$3:$V$28,4,0)</f>
        <v>0.0092608415149028</v>
      </c>
      <c r="O8" s="70">
        <f>=VLOOKUP($J8,$R$3:$V$28,5,0)</f>
        <v>0.0047362284171925</v>
      </c>
      <c r="P8" s="70" t="s"/>
      <c r="Q8" s="13" t="s"/>
      <c r="R8" s="9" t="s">
        <v>129</v>
      </c>
      <c r="S8" s="13">
        <v>0</v>
      </c>
      <c r="T8" s="13">
        <v>0.000000000000000000000000000000000000000000000000000000000000000000000000000000000000000000000000000000000000000000000000591245509699247</v>
      </c>
      <c r="U8" s="13">
        <v>0.00000000000000000000000000000000000000000000000000000000000000000000000000000000000000000000000000000000000000000000000000000000000000000000000000000000000000000000000000000000000000000000000000000000000000000000000000000000000000000000000000000000000000000000000000000000154991445477839</v>
      </c>
      <c r="V8" s="13">
        <v>0.000000000000000000000000000000000000000000000000000000000000000000000000000000000000000000000000000000000000000261973069907324</v>
      </c>
    </row>
    <row r="9" spans="2:22">
      <c r="B9" s="9" t="s">
        <v>90</v>
      </c>
      <c r="C9" s="34">
        <v>0.024018</v>
      </c>
      <c r="D9" s="13">
        <v>0.018727</v>
      </c>
      <c r="E9" s="9">
        <v>0.024018</v>
      </c>
      <c r="G9" s="9">
        <v>0.0346122995769101</v>
      </c>
      <c r="H9" s="9">
        <v>0.0346122995769101</v>
      </c>
      <c r="J9" s="9" t="s">
        <v>90</v>
      </c>
      <c r="K9" s="71">
        <v>0.0764440347425791</v>
      </c>
      <c r="L9" s="13">
        <f>=IF(VLOOKUP(J9,$R$3:$W$28,2,0)&lt;0.09%,0.001%,VLOOKUP(J9,$R$3:$W$28,2,0))</f>
        <v>0.0059782633862303</v>
      </c>
      <c r="M9" s="70">
        <f>=VLOOKUP($J9,$R$3:$V$28,3,0)</f>
        <v>0.00000000000416653808826824</v>
      </c>
      <c r="N9" s="70">
        <f>=VLOOKUP($J9,$R$3:$V$28,4,0)</f>
        <v>0.0172898527903005</v>
      </c>
      <c r="O9" s="70">
        <f>=VLOOKUP($J9,$R$3:$V$28,5,0)</f>
        <v>0.000872631771809</v>
      </c>
      <c r="P9" s="70" t="s"/>
      <c r="Q9" s="13" t="s"/>
      <c r="R9" s="9" t="s">
        <v>94</v>
      </c>
      <c r="S9" s="13">
        <v>0.0391356129763048</v>
      </c>
      <c r="T9" s="13">
        <v>0.0654970964119174</v>
      </c>
      <c r="U9" s="13">
        <v>0.0153246557751078</v>
      </c>
      <c r="V9" s="13">
        <v>0.0272219045637462</v>
      </c>
    </row>
    <row r="10" spans="2:22">
      <c r="B10" s="9" t="s">
        <v>94</v>
      </c>
      <c r="C10" s="34">
        <v>0.025446</v>
      </c>
      <c r="D10" s="13">
        <v>0.021173</v>
      </c>
      <c r="E10" s="9">
        <v>0.025446</v>
      </c>
      <c r="G10" s="9">
        <v>0.0555184616306502</v>
      </c>
      <c r="H10" s="9">
        <v>0.0555184616306502</v>
      </c>
      <c r="J10" s="9" t="s">
        <v>94</v>
      </c>
      <c r="K10" s="71">
        <v>0.123362294076852</v>
      </c>
      <c r="L10" s="13">
        <f>=IF(VLOOKUP(J10,$R$3:$W$28,2,0)&lt;0.09%,0.001%,VLOOKUP(J10,$R$3:$W$28,2,0))</f>
        <v>0.0391356129763048</v>
      </c>
      <c r="M10" s="70">
        <f>=VLOOKUP($J10,$R$3:$V$28,3,0)</f>
        <v>0.0654970964119174</v>
      </c>
      <c r="N10" s="70">
        <f>=VLOOKUP($J10,$R$3:$V$28,4,0)</f>
        <v>0.0153246557751078</v>
      </c>
      <c r="O10" s="70">
        <f>=VLOOKUP($J10,$R$3:$V$28,5,0)</f>
        <v>0.0272219045637462</v>
      </c>
      <c r="P10" s="70" t="s"/>
      <c r="Q10" s="13" t="s"/>
      <c r="R10" s="9" t="s">
        <v>86</v>
      </c>
      <c r="S10" s="13">
        <v>0.0679775847971227</v>
      </c>
      <c r="T10" s="13">
        <v>0.065288002218044</v>
      </c>
      <c r="U10" s="13">
        <v>0.0092608415149028</v>
      </c>
      <c r="V10" s="13">
        <v>0.0047362284171925</v>
      </c>
    </row>
    <row r="11" spans="2:22">
      <c r="B11" s="9" t="s">
        <v>95</v>
      </c>
      <c r="C11" s="52">
        <v>0.0322668083155854</v>
      </c>
      <c r="D11" s="13">
        <v>0.0242903222785211</v>
      </c>
      <c r="G11" s="9">
        <v>0.02876064684065</v>
      </c>
      <c r="H11" s="9">
        <v>0.02876064684065</v>
      </c>
      <c r="J11" s="9" t="s">
        <v>95</v>
      </c>
      <c r="K11" s="71">
        <v>0.0433589878285729</v>
      </c>
      <c r="L11" s="13">
        <f>=IF(VLOOKUP(J11,$R$3:$W$28,2,0)&lt;0.09%,0.001%,VLOOKUP(J11,$R$3:$W$28,2,0))</f>
        <v>0.0286921283531514</v>
      </c>
      <c r="M11" s="70">
        <f>=VLOOKUP($J11,$R$3:$V$28,3,0)</f>
        <v>0.0002131263727091</v>
      </c>
      <c r="N11" s="70">
        <f>=VLOOKUP($J11,$R$3:$V$28,4,0)</f>
        <v>0.0074794707726772</v>
      </c>
      <c r="O11" s="70">
        <f>=VLOOKUP($J11,$R$3:$V$28,5,0)</f>
        <v>0.007153567240452</v>
      </c>
      <c r="P11" s="70" t="s"/>
      <c r="Q11" s="13" t="s"/>
      <c r="R11" s="9" t="s">
        <v>90</v>
      </c>
      <c r="S11" s="13">
        <v>0.0059782633862303</v>
      </c>
      <c r="T11" s="13">
        <v>0.00000000000416653808826824</v>
      </c>
      <c r="U11" s="13">
        <v>0.0172898527903005</v>
      </c>
      <c r="V11" s="13">
        <v>0.000872631771809</v>
      </c>
    </row>
    <row r="12" spans="2:22">
      <c r="B12" s="9" t="s">
        <v>100</v>
      </c>
      <c r="C12" s="52">
        <v>0.0328700897757459</v>
      </c>
      <c r="D12" s="13">
        <v>0.0256290353580812</v>
      </c>
      <c r="G12" s="9">
        <v>0.0415347594922921</v>
      </c>
      <c r="H12" s="9">
        <v>0.0415347594922921</v>
      </c>
      <c r="J12" s="9" t="s">
        <v>100</v>
      </c>
      <c r="K12" s="71">
        <v>0.0066242687437516</v>
      </c>
      <c r="L12" s="13">
        <f>=IF(VLOOKUP(J12,$R$3:$W$28,2,0)&lt;0.09%,0.001%,VLOOKUP(J12,$R$3:$W$28,2,0))</f>
        <v>0.0188017274018373</v>
      </c>
      <c r="M12" s="70">
        <f>=VLOOKUP($J12,$R$3:$V$28,3,0)</f>
        <v>0.0184354490152731</v>
      </c>
      <c r="N12" s="70">
        <f>=VLOOKUP($J12,$R$3:$V$28,4,0)</f>
        <v>0.0110068031414003</v>
      </c>
      <c r="O12" s="70">
        <f>=VLOOKUP($J12,$R$3:$V$28,5,0)</f>
        <v>0.0260718545430311</v>
      </c>
      <c r="P12" s="70" t="s"/>
      <c r="Q12" s="13" t="s"/>
      <c r="R12" s="9" t="s">
        <v>117</v>
      </c>
      <c r="S12" s="13">
        <v>0.000000000000000000000000000000000000000000000000000000000000818319897240341</v>
      </c>
      <c r="T12" s="13">
        <v>0.0003917331680521</v>
      </c>
      <c r="U12" s="13">
        <v>0.000000177071710245108</v>
      </c>
      <c r="V12" s="13">
        <v>0.0002912404449466</v>
      </c>
    </row>
    <row r="13" spans="2:22">
      <c r="B13" s="9" t="s">
        <v>103</v>
      </c>
      <c r="C13" s="55">
        <v>0.0917748145373926</v>
      </c>
      <c r="D13" s="13">
        <v>0.0917748145373926</v>
      </c>
      <c r="G13" s="9">
        <v>0.250661481102131</v>
      </c>
      <c r="H13" s="9">
        <v>0.250661481102131</v>
      </c>
      <c r="J13" s="9" t="s">
        <v>103</v>
      </c>
      <c r="K13" s="71">
        <v>0.001</v>
      </c>
      <c r="L13" s="13">
        <f>=IF(VLOOKUP(J13,$R$3:$W$28,2,0)&lt;0.09%,0.001%,VLOOKUP(J13,$R$3:$W$28,2,0))</f>
        <v>0.00001</v>
      </c>
      <c r="M13" s="70">
        <f>=VLOOKUP($J13,$R$3:$V$28,3,0)</f>
        <v>0.0030906250747803</v>
      </c>
      <c r="N13" s="70">
        <f>=VLOOKUP($J13,$R$3:$V$28,4,0)</f>
        <v>0.0231956119485384</v>
      </c>
      <c r="O13" s="70">
        <f>=VLOOKUP($J13,$R$3:$V$28,5,0)</f>
        <v>0.0001379720787222</v>
      </c>
      <c r="P13" s="70" t="s"/>
      <c r="Q13" s="13" t="s"/>
      <c r="R13" s="9" t="s">
        <v>141</v>
      </c>
      <c r="S13" s="13">
        <v>0.122507759143888</v>
      </c>
      <c r="T13" s="13">
        <v>0.132502041403327</v>
      </c>
      <c r="U13" s="13">
        <v>0.105108007989367</v>
      </c>
      <c r="V13" s="13">
        <v>0.202772539402009</v>
      </c>
    </row>
    <row r="14" spans="2:22">
      <c r="B14" s="9" t="s">
        <v>108</v>
      </c>
      <c r="C14" s="55">
        <v>0.102177901737154</v>
      </c>
      <c r="D14" s="13">
        <v>0.102177901737154</v>
      </c>
      <c r="G14" s="9">
        <v>0.210632409312247</v>
      </c>
      <c r="H14" s="9">
        <v>0.210632409312247</v>
      </c>
      <c r="J14" s="9" t="s">
        <v>108</v>
      </c>
      <c r="K14" s="71">
        <v>0.029760463567247</v>
      </c>
      <c r="L14" s="13">
        <f>=IF(VLOOKUP(J14,$R$3:$W$28,2,0)&lt;0.09%,0.001%,VLOOKUP(J14,$R$3:$W$28,2,0))</f>
        <v>0.003377096092589</v>
      </c>
      <c r="M14" s="70">
        <f>=VLOOKUP($J14,$R$3:$V$28,3,0)</f>
        <v>0.00000000492183243872519</v>
      </c>
      <c r="N14" s="70">
        <f>=VLOOKUP($J14,$R$3:$V$28,4,0)</f>
        <v>0.0195306838179085</v>
      </c>
      <c r="O14" s="70">
        <f>=VLOOKUP($J14,$R$3:$V$28,5,0)</f>
        <v>0.0086970601074557</v>
      </c>
      <c r="P14" s="70" t="s"/>
      <c r="Q14" s="13" t="s"/>
      <c r="R14" s="9" t="s">
        <v>137</v>
      </c>
      <c r="S14" s="13">
        <v>0.100468946606944</v>
      </c>
      <c r="T14" s="13">
        <v>0.0742576338740339</v>
      </c>
      <c r="U14" s="13">
        <v>0.0627307949351763</v>
      </c>
      <c r="V14" s="13">
        <v>0.0098338199458856</v>
      </c>
    </row>
    <row r="15" spans="2:22">
      <c r="B15" s="9" t="s">
        <v>111</v>
      </c>
      <c r="C15" s="55">
        <v>0.06965</v>
      </c>
      <c r="D15" s="13">
        <v>0.06965</v>
      </c>
      <c r="G15" s="9">
        <v>0.167350203957789</v>
      </c>
      <c r="H15" s="9">
        <v>0.167350203957789</v>
      </c>
      <c r="J15" s="9" t="s">
        <v>111</v>
      </c>
      <c r="K15" s="71">
        <v>0.001</v>
      </c>
      <c r="L15" s="13">
        <f>=IF(VLOOKUP(J15,$R$3:$W$28,2,0)&lt;0.09%,0.001%,VLOOKUP(J15,$R$3:$W$28,2,0))</f>
        <v>0.0047554240985219</v>
      </c>
      <c r="M15" s="70">
        <f>=VLOOKUP($J15,$R$3:$V$28,3,0)</f>
        <v>0.0273726118272159</v>
      </c>
      <c r="N15" s="70">
        <f>=VLOOKUP($J15,$R$3:$V$28,4,0)</f>
        <v>0.0170120644387807</v>
      </c>
      <c r="O15" s="70">
        <f>=VLOOKUP($J15,$R$3:$V$28,5,0)</f>
        <v>0.0563946609671155</v>
      </c>
      <c r="P15" s="70" t="s"/>
      <c r="Q15" s="13" t="s"/>
      <c r="R15" s="9" t="s">
        <v>77</v>
      </c>
      <c r="S15" s="13">
        <v>0.0324966540302528</v>
      </c>
      <c r="T15" s="13">
        <v>0.0000703209203817021</v>
      </c>
      <c r="U15" s="13">
        <v>0.030616003586082</v>
      </c>
      <c r="V15" s="13">
        <v>0.0137354487370547</v>
      </c>
    </row>
    <row r="16" spans="2:22">
      <c r="B16" s="9" t="s">
        <v>114</v>
      </c>
      <c r="C16" s="55">
        <v>0.077</v>
      </c>
      <c r="D16" s="13">
        <v>0.077</v>
      </c>
      <c r="G16" s="9">
        <v>0.225865330996139</v>
      </c>
      <c r="H16" s="9">
        <v>0.225865330996139</v>
      </c>
      <c r="J16" s="9" t="s">
        <v>114</v>
      </c>
      <c r="K16" s="71">
        <v>0.001</v>
      </c>
      <c r="L16" s="13">
        <f>=IF(VLOOKUP(J16,$R$3:$W$28,2,0)&lt;0.09%,0.001%,VLOOKUP(J16,$R$3:$W$28,2,0))</f>
        <v>0.0253775126673416</v>
      </c>
      <c r="M16" s="70">
        <f>=VLOOKUP($J16,$R$3:$V$28,3,0)</f>
        <v>0.0564123232359718</v>
      </c>
      <c r="N16" s="70">
        <f>=VLOOKUP($J16,$R$3:$V$28,4,0)</f>
        <v>0.0370031463127471</v>
      </c>
      <c r="O16" s="70">
        <f>=VLOOKUP($J16,$R$3:$V$28,5,0)</f>
        <v>0.0282988348784556</v>
      </c>
      <c r="P16" s="70" t="s"/>
      <c r="Q16" s="13" t="s"/>
      <c r="R16" s="9" t="s">
        <v>79</v>
      </c>
      <c r="S16" s="13">
        <v>0.142120887216312</v>
      </c>
      <c r="T16" s="13">
        <v>0.157464746834564</v>
      </c>
      <c r="U16" s="13">
        <v>0.292979068467695</v>
      </c>
      <c r="V16" s="13">
        <v>0.228350414226373</v>
      </c>
    </row>
    <row r="17" spans="2:22">
      <c r="B17" s="9" t="s">
        <v>117</v>
      </c>
      <c r="C17" s="55">
        <v>0.0284872877927068</v>
      </c>
      <c r="D17" s="13">
        <v>0.0284872877927068</v>
      </c>
      <c r="G17" s="9">
        <v>0.0354430139312181</v>
      </c>
      <c r="H17" s="9">
        <v>0.0354430139312181</v>
      </c>
      <c r="J17" s="9" t="s">
        <v>117</v>
      </c>
      <c r="K17" s="71">
        <v>0.001</v>
      </c>
      <c r="L17" s="13">
        <f>=IF(VLOOKUP(J17,$R$3:$W$28,2,0)&lt;0.09%,0.001%,VLOOKUP(J17,$R$3:$W$28,2,0))</f>
        <v>0.00001</v>
      </c>
      <c r="M17" s="70">
        <f>=VLOOKUP($J17,$R$3:$V$28,3,0)</f>
        <v>0.0003917331680521</v>
      </c>
      <c r="N17" s="70">
        <f>=VLOOKUP($J17,$R$3:$V$28,4,0)</f>
        <v>0.000000177071710245108</v>
      </c>
      <c r="O17" s="70">
        <f>=VLOOKUP($J17,$R$3:$V$28,5,0)</f>
        <v>0.0002912404449466</v>
      </c>
      <c r="P17" s="70" t="s"/>
      <c r="Q17" s="13" t="s"/>
      <c r="R17" s="9" t="s">
        <v>66</v>
      </c>
      <c r="S17" s="13">
        <v>0.0036988282708286</v>
      </c>
      <c r="T17" s="13">
        <v>0.0182508432682007</v>
      </c>
      <c r="U17" s="13">
        <v>0.0240325332166414</v>
      </c>
      <c r="V17" s="13">
        <v>0.0049270318738296</v>
      </c>
    </row>
    <row r="18" spans="2:22">
      <c r="B18" s="9" t="s">
        <v>120</v>
      </c>
      <c r="C18" s="55">
        <v>0.015</v>
      </c>
      <c r="D18" s="13">
        <v>0.015</v>
      </c>
      <c r="G18" s="9">
        <v>0.005</v>
      </c>
      <c r="H18" s="9">
        <v>0.005</v>
      </c>
      <c r="J18" s="9" t="s">
        <v>120</v>
      </c>
      <c r="K18" s="71">
        <v>0.001</v>
      </c>
      <c r="L18" s="13">
        <f>=IF(VLOOKUP(J18,$R$3:$W$28,2,0)&lt;0.09%,0.001%,VLOOKUP(J18,$R$3:$W$28,2,0))</f>
        <v>0.00001</v>
      </c>
      <c r="M18" s="70">
        <f>=VLOOKUP($J18,$R$3:$V$28,3,0)</f>
        <v>0.00000000000000000000000000000000000000000000000000000000000000000000000000000000000000000000000000000000000000000000000000000000000000000105566488474222</v>
      </c>
      <c r="N18" s="70">
        <f>=VLOOKUP($J18,$R$3:$V$28,4,0)</f>
        <v>0</v>
      </c>
      <c r="O18" s="70">
        <f>=VLOOKUP($J18,$R$3:$V$28,5,0)</f>
        <v>0</v>
      </c>
      <c r="P18" s="70" t="s"/>
      <c r="Q18" s="13" t="s"/>
      <c r="R18" s="9" t="s">
        <v>81</v>
      </c>
      <c r="S18" s="13">
        <v>0.205379775685428</v>
      </c>
      <c r="T18" s="13">
        <v>0.204314441993768</v>
      </c>
      <c r="U18" s="13">
        <v>0.138352959011897</v>
      </c>
      <c r="V18" s="13">
        <v>0.173154481526647</v>
      </c>
    </row>
    <row r="19" spans="2:22">
      <c r="B19" s="9" t="s">
        <v>123</v>
      </c>
      <c r="C19" s="55">
        <v>0.0664598038395183</v>
      </c>
      <c r="D19" s="13">
        <v>0.0664598038395183</v>
      </c>
      <c r="G19" s="9">
        <v>0.176499958546491</v>
      </c>
      <c r="H19" s="9">
        <v>0.176499958546491</v>
      </c>
      <c r="J19" s="9" t="s">
        <v>123</v>
      </c>
      <c r="K19" s="71">
        <v>0.001</v>
      </c>
      <c r="L19" s="13">
        <f>=IF(VLOOKUP(J19,$R$3:$W$28,2,0)&lt;0.09%,0.001%,VLOOKUP(J19,$R$3:$W$28,2,0))</f>
        <v>0.0107512470097193</v>
      </c>
      <c r="M19" s="70">
        <f>=VLOOKUP($J19,$R$3:$V$28,3,0)</f>
        <v>0</v>
      </c>
      <c r="N19" s="70">
        <f>=VLOOKUP($J19,$R$3:$V$28,4,0)</f>
        <v>0.0000000000000000000000000000000000000000000000000000000000210062084849204</v>
      </c>
      <c r="O19" s="70">
        <f>=VLOOKUP($J19,$R$3:$V$28,5,0)</f>
        <v>0</v>
      </c>
      <c r="P19" s="70" t="s"/>
      <c r="Q19" s="13" t="s"/>
      <c r="R19" s="9" t="s">
        <v>75</v>
      </c>
      <c r="S19" s="13">
        <v>0.0077904802849662</v>
      </c>
      <c r="T19" s="13">
        <v>0.034165383532113</v>
      </c>
      <c r="U19" s="13">
        <v>0.00251157480767</v>
      </c>
      <c r="V19" s="13">
        <v>0.0020925843994497</v>
      </c>
    </row>
    <row r="20" spans="2:22">
      <c r="B20" s="9" t="s">
        <v>126</v>
      </c>
      <c r="C20" s="55">
        <v>0.0854460618629241</v>
      </c>
      <c r="D20" s="13">
        <v>0.0854460618629241</v>
      </c>
      <c r="G20" s="9">
        <v>0.224253765578297</v>
      </c>
      <c r="H20" s="9">
        <v>0.224253765578297</v>
      </c>
      <c r="J20" s="9" t="s">
        <v>126</v>
      </c>
      <c r="K20" s="71">
        <v>0.001</v>
      </c>
      <c r="L20" s="13">
        <f>=IF(VLOOKUP(J20,$R$3:$W$28,2,0)&lt;0.09%,0.001%,VLOOKUP(J20,$R$3:$W$28,2,0))</f>
        <v>0.00001</v>
      </c>
      <c r="M20" s="70">
        <f>=VLOOKUP($J20,$R$3:$V$28,3,0)</f>
        <v>0.000000000417778061259576</v>
      </c>
      <c r="N20" s="70">
        <f>=VLOOKUP($J20,$R$3:$V$28,4,0)</f>
        <v>0.000000192882939849187</v>
      </c>
      <c r="O20" s="70">
        <f>=VLOOKUP($J20,$R$3:$V$28,5,0)</f>
        <v>0.0001002212181382</v>
      </c>
      <c r="P20" s="70" t="s"/>
      <c r="Q20" s="13" t="s"/>
      <c r="R20" s="9" t="s">
        <v>144</v>
      </c>
      <c r="S20" s="13">
        <v>0.0449411430932085</v>
      </c>
      <c r="T20" s="13">
        <v>0.0268460107332999</v>
      </c>
      <c r="U20" s="13">
        <v>0.0232477650263667</v>
      </c>
      <c r="V20" s="13">
        <v>0.0283054282924598</v>
      </c>
    </row>
    <row r="21" spans="2:22">
      <c r="B21" s="9" t="s">
        <v>129</v>
      </c>
      <c r="C21" s="55">
        <v>0.055</v>
      </c>
      <c r="D21" s="13">
        <v>0.055</v>
      </c>
      <c r="G21" s="9">
        <v>0.169241677056302</v>
      </c>
      <c r="H21" s="9">
        <v>0.169241677056302</v>
      </c>
      <c r="J21" s="9" t="s">
        <v>129</v>
      </c>
      <c r="K21" s="71">
        <v>0.001</v>
      </c>
      <c r="L21" s="13">
        <f>=IF(VLOOKUP(J21,$R$3:$W$28,2,0)&lt;0.09%,0.001%,VLOOKUP(J21,$R$3:$W$28,2,0))</f>
        <v>0.00001</v>
      </c>
      <c r="M21" s="70">
        <f>=VLOOKUP($J21,$R$3:$V$28,3,0)</f>
        <v>0.000000000000000000000000000000000000000000000000000000000000000000000000000000000000000000000000000000000000000000000000591245509699247</v>
      </c>
      <c r="N21" s="70">
        <f>=VLOOKUP($J21,$R$3:$V$28,4,0)</f>
        <v>0.00000000000000000000000000000000000000000000000000000000000000000000000000000000000000000000000000000000000000000000000000000000000000000000000000000000000000000000000000000000000000000000000000000000000000000000000000000000000000000000000000000000000000000000000000000000154991445477839</v>
      </c>
      <c r="O21" s="70">
        <f>=VLOOKUP($J21,$R$3:$V$28,5,0)</f>
        <v>0.000000000000000000000000000000000000000000000000000000000000000000000000000000000000000000000000000000000000000261973069907324</v>
      </c>
      <c r="P21" s="70" t="s"/>
      <c r="Q21" s="13" t="s"/>
      <c r="R21" s="9" t="s">
        <v>135</v>
      </c>
      <c r="S21" s="13">
        <v>0.0062594927056794</v>
      </c>
      <c r="T21" s="13">
        <v>0.0150964299514174</v>
      </c>
      <c r="U21" s="13">
        <v>0.0456743088025378</v>
      </c>
      <c r="V21" s="13">
        <v>0.0677808886151154</v>
      </c>
    </row>
    <row r="22" spans="2:22">
      <c r="B22" s="9" t="s">
        <v>132</v>
      </c>
      <c r="C22" s="55">
        <v>0.104445498033982</v>
      </c>
      <c r="D22" s="13">
        <v>0.104445498033982</v>
      </c>
      <c r="G22" s="9">
        <v>0.193023472261394</v>
      </c>
      <c r="H22" s="9">
        <v>0.193023472261394</v>
      </c>
      <c r="J22" s="9" t="s">
        <v>132</v>
      </c>
      <c r="K22" s="71">
        <v>0.001</v>
      </c>
      <c r="L22" s="13">
        <f>=IF(VLOOKUP(J22,$R$3:$W$28,2,0)&lt;0.09%,0.001%,VLOOKUP(J22,$R$3:$W$28,2,0))</f>
        <v>0.00001</v>
      </c>
      <c r="M22" s="70">
        <f>=VLOOKUP($J22,$R$3:$V$28,3,0)</f>
        <v>0</v>
      </c>
      <c r="N22" s="70">
        <f>=VLOOKUP($J22,$R$3:$V$28,4,0)</f>
        <v>0.00000000000000000000000000000000000000000000000000172518746042628</v>
      </c>
      <c r="O22" s="70">
        <f>=VLOOKUP($J22,$R$3:$V$28,5,0)</f>
        <v>0</v>
      </c>
      <c r="P22" s="70" t="s"/>
      <c r="Q22" s="13" t="s"/>
      <c r="R22" s="9" t="s">
        <v>123</v>
      </c>
      <c r="S22" s="13">
        <v>0.0107512470097193</v>
      </c>
      <c r="T22" s="13">
        <v>0</v>
      </c>
      <c r="U22" s="13">
        <v>0.0000000000000000000000000000000000000000000000000000000000210062084849204</v>
      </c>
      <c r="V22" s="13">
        <v>0</v>
      </c>
    </row>
    <row r="23" spans="2:22">
      <c r="B23" s="9" t="s">
        <v>135</v>
      </c>
      <c r="C23" s="55">
        <v>0.105757777444871</v>
      </c>
      <c r="D23" s="13">
        <v>0.105757777444871</v>
      </c>
      <c r="G23" s="9">
        <v>0.273831855454741</v>
      </c>
      <c r="H23" s="9">
        <v>0.273831855454741</v>
      </c>
      <c r="J23" s="9" t="s">
        <v>135</v>
      </c>
      <c r="K23" s="71">
        <v>0.0682339338031146</v>
      </c>
      <c r="L23" s="13">
        <f>=IF(VLOOKUP(J23,$R$3:$W$28,2,0)&lt;0.09%,0.001%,VLOOKUP(J23,$R$3:$W$28,2,0))</f>
        <v>0.0062594927056794</v>
      </c>
      <c r="M23" s="70">
        <f>=VLOOKUP($J23,$R$3:$V$28,3,0)</f>
        <v>0.0150964299514174</v>
      </c>
      <c r="N23" s="70">
        <f>=VLOOKUP($J23,$R$3:$V$28,4,0)</f>
        <v>0.0456743088025378</v>
      </c>
      <c r="O23" s="70">
        <f>=VLOOKUP($J23,$R$3:$V$28,5,0)</f>
        <v>0.0677808886151154</v>
      </c>
      <c r="P23" s="70" t="s"/>
      <c r="Q23" s="13" t="s"/>
      <c r="R23" s="9" t="s">
        <v>139</v>
      </c>
      <c r="S23" s="13">
        <v>0.0310237080178852</v>
      </c>
      <c r="T23" s="13">
        <v>0.0183049820487512</v>
      </c>
      <c r="U23" s="13">
        <v>0.0246128596766742</v>
      </c>
      <c r="V23" s="13">
        <v>0.0141219543588812</v>
      </c>
    </row>
    <row r="24" spans="2:22">
      <c r="B24" s="9" t="s">
        <v>137</v>
      </c>
      <c r="C24" s="55">
        <v>0.0348160404671754</v>
      </c>
      <c r="D24" s="13">
        <v>0.0348160404671754</v>
      </c>
      <c r="G24" s="9">
        <v>0.0488669756888011</v>
      </c>
      <c r="H24" s="9">
        <v>0.0488669756888011</v>
      </c>
      <c r="J24" s="9" t="s">
        <v>137</v>
      </c>
      <c r="K24" s="71">
        <v>0.010014107261592</v>
      </c>
      <c r="L24" s="13">
        <f>=IF(VLOOKUP(J24,$R$3:$W$28,2,0)&lt;0.09%,0.001%,VLOOKUP(J24,$R$3:$W$28,2,0))</f>
        <v>0.100468946606944</v>
      </c>
      <c r="M24" s="70">
        <f>=VLOOKUP($J24,$R$3:$V$28,3,0)</f>
        <v>0.0742576338740339</v>
      </c>
      <c r="N24" s="70">
        <f>=VLOOKUP($J24,$R$3:$V$28,4,0)</f>
        <v>0.0627307949351763</v>
      </c>
      <c r="O24" s="70">
        <f>=VLOOKUP($J24,$R$3:$V$28,5,0)</f>
        <v>0.0098338199458856</v>
      </c>
      <c r="P24" s="70" t="s"/>
      <c r="Q24" s="13" t="s"/>
      <c r="R24" s="9" t="s">
        <v>126</v>
      </c>
      <c r="S24" s="13">
        <v>0.0000254256246404518</v>
      </c>
      <c r="T24" s="13">
        <v>0.000000000417778061259576</v>
      </c>
      <c r="U24" s="13">
        <v>0.000000192882939849187</v>
      </c>
      <c r="V24" s="13">
        <v>0.0001002212181382</v>
      </c>
    </row>
    <row r="25" spans="2:22">
      <c r="B25" s="9" t="s">
        <v>139</v>
      </c>
      <c r="C25" s="55">
        <v>0.015</v>
      </c>
      <c r="D25" s="13">
        <v>0.015</v>
      </c>
      <c r="G25" s="9">
        <v>0</v>
      </c>
      <c r="H25" s="9">
        <v>0</v>
      </c>
      <c r="J25" s="9" t="s">
        <v>139</v>
      </c>
      <c r="K25" s="71">
        <v>0.001</v>
      </c>
      <c r="L25" s="13">
        <f>=IF(VLOOKUP(J25,$R$3:$W$28,2,0)&lt;0.09%,0.001%,VLOOKUP(J25,$R$3:$W$28,2,0))</f>
        <v>0.0310237080178852</v>
      </c>
      <c r="M25" s="70">
        <f>=VLOOKUP($J25,$R$3:$V$28,3,0)</f>
        <v>0.0183049820487512</v>
      </c>
      <c r="N25" s="70">
        <f>=VLOOKUP($J25,$R$3:$V$28,4,0)</f>
        <v>0.0246128596766742</v>
      </c>
      <c r="O25" s="70">
        <f>=VLOOKUP($J25,$R$3:$V$28,5,0)</f>
        <v>0.0141219543588812</v>
      </c>
      <c r="P25" s="70" t="s"/>
      <c r="Q25" s="13" t="s"/>
      <c r="R25" s="9" t="s">
        <v>120</v>
      </c>
      <c r="S25" s="13">
        <v>0</v>
      </c>
      <c r="T25" s="13">
        <v>0.00000000000000000000000000000000000000000000000000000000000000000000000000000000000000000000000000000000000000000000000000000000000000000105566488474222</v>
      </c>
      <c r="U25" s="13">
        <v>0</v>
      </c>
      <c r="V25" s="13">
        <v>0</v>
      </c>
    </row>
    <row r="26" spans="2:22">
      <c r="B26" s="9" t="s">
        <v>141</v>
      </c>
      <c r="C26" s="36">
        <v>0.0316516641299411</v>
      </c>
      <c r="D26" s="13">
        <v>0.0316516641299411</v>
      </c>
      <c r="G26" s="9">
        <v>0.0421549948100096</v>
      </c>
      <c r="H26" s="9">
        <v>0.0421549948100096</v>
      </c>
      <c r="J26" s="9" t="s">
        <v>141</v>
      </c>
      <c r="K26" s="71">
        <v>0.0208588373442167</v>
      </c>
      <c r="L26" s="13">
        <f>=IF(VLOOKUP(J26,$R$3:$W$28,2,0)&lt;0.09%,0.001%,VLOOKUP(J26,$R$3:$W$28,2,0))</f>
        <v>0.122507759143888</v>
      </c>
      <c r="M26" s="70">
        <f>=VLOOKUP($J26,$R$3:$V$28,3,0)</f>
        <v>0.132502041403327</v>
      </c>
      <c r="N26" s="70">
        <f>=VLOOKUP($J26,$R$3:$V$28,4,0)</f>
        <v>0.105108007989367</v>
      </c>
      <c r="O26" s="70">
        <f>=VLOOKUP($J26,$R$3:$V$28,5,0)</f>
        <v>0.202772539402009</v>
      </c>
      <c r="P26" s="70" t="s"/>
      <c r="Q26" s="13" t="s"/>
      <c r="R26" s="9" t="s">
        <v>132</v>
      </c>
      <c r="S26" s="13">
        <v>0.0000000000000000000000133714742929925</v>
      </c>
      <c r="T26" s="13">
        <v>0</v>
      </c>
      <c r="U26" s="13">
        <v>0.00000000000000000000000000000000000000000000000000172518746042628</v>
      </c>
      <c r="V26" s="13">
        <v>0</v>
      </c>
    </row>
    <row r="27" spans="2:22">
      <c r="B27" s="9" t="s">
        <v>144</v>
      </c>
      <c r="C27" s="55">
        <v>0.028</v>
      </c>
      <c r="D27" s="13">
        <v>0.028</v>
      </c>
      <c r="G27" s="9">
        <v>0.013</v>
      </c>
      <c r="H27" s="9">
        <v>0.013</v>
      </c>
      <c r="J27" s="9" t="s">
        <v>144</v>
      </c>
      <c r="K27" s="71">
        <v>0.0067780699745211</v>
      </c>
      <c r="L27" s="13">
        <f>=IF(VLOOKUP(J27,$R$3:$W$28,2,0)&lt;0.09%,0.001%,VLOOKUP(J27,$R$3:$W$28,2,0))</f>
        <v>0.0449411430932085</v>
      </c>
      <c r="M27" s="70">
        <f>=VLOOKUP($J27,$R$3:$V$28,3,0)</f>
        <v>0.0268460107332999</v>
      </c>
      <c r="N27" s="70">
        <f>=VLOOKUP($J27,$R$3:$V$28,4,0)</f>
        <v>0.0232477650263667</v>
      </c>
      <c r="O27" s="70">
        <f>=VLOOKUP($J27,$R$3:$V$28,5,0)</f>
        <v>0.0283054282924598</v>
      </c>
      <c r="P27" s="70" t="s"/>
      <c r="Q27" s="13" t="s"/>
      <c r="R27" s="9" t="s">
        <v>95</v>
      </c>
      <c r="S27" s="13">
        <v>0.0286921283531514</v>
      </c>
      <c r="T27" s="13">
        <v>0.0002131263727091</v>
      </c>
      <c r="U27" s="13">
        <v>0.0074794707726772</v>
      </c>
      <c r="V27" s="13">
        <v>0.007153567240452</v>
      </c>
    </row>
    <row r="28" spans="2:22">
      <c r="B28" s="9" t="s">
        <v>146</v>
      </c>
      <c r="C28" s="55">
        <v>0.065</v>
      </c>
      <c r="D28" s="13">
        <v>0.065</v>
      </c>
      <c r="G28" s="9">
        <v>0.0763518396134835</v>
      </c>
      <c r="H28" s="9">
        <v>0.0763518396134835</v>
      </c>
      <c r="J28" s="9" t="s">
        <v>146</v>
      </c>
      <c r="K28" s="71">
        <v>0.0954466498010975</v>
      </c>
      <c r="L28" s="13">
        <f>=IF(VLOOKUP(J28,$R$3:$W$28,2,0)&lt;0.09%,0.001%,VLOOKUP(J28,$R$3:$W$28,2,0))</f>
        <v>0.0976378283669178</v>
      </c>
      <c r="M28" s="70">
        <f>=VLOOKUP($J28,$R$3:$V$28,3,0)</f>
        <v>0.0820261927724009</v>
      </c>
      <c r="N28" s="70">
        <f>=VLOOKUP($J28,$R$3:$V$28,4,0)</f>
        <v>0.0930306240128785</v>
      </c>
      <c r="O28" s="70">
        <f>=VLOOKUP($J28,$R$3:$V$28,5,0)</f>
        <v>0.094949232391229</v>
      </c>
      <c r="P28" s="70" t="s"/>
      <c r="Q28" s="13" t="s"/>
      <c r="R28" s="9" t="s">
        <v>100</v>
      </c>
      <c r="S28" s="13">
        <v>0.0188017274018373</v>
      </c>
      <c r="T28" s="13">
        <v>0.0184354490152731</v>
      </c>
      <c r="U28" s="13">
        <v>0.0110068031414003</v>
      </c>
      <c r="V28" s="13">
        <v>0.0260718545430311</v>
      </c>
    </row>
    <row r="29" spans="19:22">
      <c r="S29" s="13" t="s"/>
      <c r="T29" s="13" t="s"/>
      <c r="U29" s="13" t="s"/>
      <c r="V29" s="13" t="s"/>
    </row>
  </sheetData>
  <conditionalFormatting sqref="S3:V28">
    <cfRule type="colorScale" priority="1">
      <colorScale>
        <cfvo type="min"/>
        <cfvo type="percentile" val="50"/>
        <cfvo type="max"/>
        <color rgb="FF63BE7B"/>
        <color rgb="FFFFEB84"/>
        <color rgb="FFF8696B"/>
      </colorScale>
    </cfRule>
  </conditionalFormatting>
  <pageMargins left="0.7" right="0.7" top="0.75" bottom="0.75" header="0.3" footer="0.3"/>
  <legacyDrawing r:id="rId2"/>
</worksheet>
</file>

<file path=xl/worksheets/sheet4.xml><?xml version="1.0" encoding="utf-8"?>
<worksheet xmlns="http://schemas.openxmlformats.org/spreadsheetml/2006/main">
  <sheetPr codeName="Sheet2"/>
  <dimension ref="Z67"/>
  <sheetViews>
    <sheetView showGridLines="1" workbookViewId="0">
      <pane ySplit="2" topLeftCell="A3" activePane="bottomLeft" state="frozen"/>
    </sheetView>
  </sheetViews>
  <sheetFormatPr defaultColWidth="9" defaultRowHeight="14.25"/>
  <cols>
    <col min="1" max="1" width="24.5" style="155" customWidth="1"/>
    <col min="2" max="2" width="44.875" style="156" customWidth="1"/>
    <col min="3" max="3" width="54.5" style="154" customWidth="1"/>
    <col min="4" max="4" width="72" style="154" customWidth="1"/>
    <col min="5" max="5" width="71.25" style="154" customWidth="1"/>
    <col min="6" max="26" width="9" style="155"/>
  </cols>
  <sheetData>
    <row r="2" spans="2:4">
      <c r="B2" s="126" t="s">
        <v>237</v>
      </c>
      <c r="C2" s="126" t="s">
        <v>238</v>
      </c>
      <c r="D2" s="126" t="s">
        <v>239</v>
      </c>
    </row>
    <row r="3" spans="2:4" ht="36" customHeight="1">
      <c r="B3" s="127" t="s">
        <v>1</v>
      </c>
      <c r="C3" s="128" t="s">
        <v>240</v>
      </c>
      <c r="D3" s="129" t="s">
        <v>241</v>
      </c>
    </row>
    <row r="4" spans="2:4" ht="36" customHeight="1">
      <c r="B4" s="127" t="s">
        <v>2</v>
      </c>
      <c r="C4" s="128" t="s">
        <v>242</v>
      </c>
      <c r="D4" s="129" t="s">
        <v>243</v>
      </c>
    </row>
    <row r="5" spans="2:4" ht="60.75" customHeight="1">
      <c r="B5" s="127" t="s">
        <v>3</v>
      </c>
      <c r="C5" s="129" t="s">
        <v>244</v>
      </c>
      <c r="D5" s="129" t="s">
        <v>245</v>
      </c>
    </row>
    <row r="6" spans="2:4" ht="48" customHeight="1">
      <c r="B6" s="127" t="s">
        <v>4</v>
      </c>
      <c r="C6" s="128" t="s">
        <v>246</v>
      </c>
      <c r="D6" s="128" t="s">
        <v>247</v>
      </c>
    </row>
    <row r="7" spans="2:4" ht="36" customHeight="1">
      <c r="B7" s="127" t="s">
        <v>5</v>
      </c>
      <c r="C7" s="128" t="s">
        <v>248</v>
      </c>
      <c r="D7" s="128" t="s">
        <v>249</v>
      </c>
    </row>
    <row r="8" spans="2:4" ht="36" customHeight="1">
      <c r="B8" s="127" t="s">
        <v>6</v>
      </c>
      <c r="C8" s="128" t="s">
        <v>250</v>
      </c>
      <c r="D8" s="128" t="s">
        <v>251</v>
      </c>
    </row>
    <row r="9" spans="2:4" s="154" customFormat="1" ht="36" customHeight="1">
      <c r="B9" s="127" t="s">
        <v>7</v>
      </c>
      <c r="C9" s="128" t="s">
        <v>252</v>
      </c>
      <c r="D9" s="128" t="s">
        <v>253</v>
      </c>
    </row>
    <row r="10" spans="2:4" s="154" customFormat="1" ht="57" customHeight="1">
      <c r="B10" s="127" t="s">
        <v>8</v>
      </c>
      <c r="C10" s="128" t="s">
        <v>254</v>
      </c>
      <c r="D10" s="128" t="s">
        <v>255</v>
      </c>
    </row>
    <row r="11" spans="2:4" s="154" customFormat="1" ht="68.25" customHeight="1">
      <c r="B11" s="127" t="s">
        <v>9</v>
      </c>
      <c r="C11" s="128" t="s">
        <v>256</v>
      </c>
      <c r="D11" s="129" t="s">
        <v>257</v>
      </c>
    </row>
    <row r="12" spans="2:4" s="154" customFormat="1" ht="69.75" customHeight="1">
      <c r="B12" s="127" t="s">
        <v>10</v>
      </c>
      <c r="C12" s="128" t="s">
        <v>258</v>
      </c>
      <c r="D12" s="128" t="s">
        <v>259</v>
      </c>
    </row>
    <row r="13" spans="2:4" s="154" customFormat="1" ht="71.25" customHeight="1">
      <c r="B13" s="127" t="s">
        <v>11</v>
      </c>
      <c r="C13" s="128" t="s">
        <v>260</v>
      </c>
      <c r="D13" s="128" t="s">
        <v>261</v>
      </c>
    </row>
    <row r="14" spans="2:4" s="154" customFormat="1" ht="36" customHeight="1">
      <c r="B14" s="127" t="s">
        <v>12</v>
      </c>
      <c r="C14" s="129" t="s">
        <v>262</v>
      </c>
      <c r="D14" s="129" t="s">
        <v>263</v>
      </c>
    </row>
    <row r="15" spans="2:4" s="154" customFormat="1" ht="36" customHeight="1">
      <c r="B15" s="127" t="s">
        <v>13</v>
      </c>
      <c r="C15" s="128" t="s">
        <v>264</v>
      </c>
      <c r="D15" s="128" t="s">
        <v>265</v>
      </c>
    </row>
    <row r="16" spans="2:4" s="154" customFormat="1" ht="36" customHeight="1">
      <c r="B16" s="127" t="s">
        <v>14</v>
      </c>
      <c r="C16" s="128" t="s">
        <v>266</v>
      </c>
      <c r="D16" s="128" t="s">
        <v>267</v>
      </c>
    </row>
    <row r="17" spans="2:4" s="154" customFormat="1" ht="62.25" customHeight="1">
      <c r="B17" s="127" t="s">
        <v>15</v>
      </c>
      <c r="C17" s="129" t="s">
        <v>268</v>
      </c>
      <c r="D17" s="129" t="s">
        <v>269</v>
      </c>
    </row>
    <row r="18" spans="2:4" s="154" customFormat="1" ht="54.75" customHeight="1">
      <c r="B18" s="127" t="s">
        <v>16</v>
      </c>
      <c r="C18" s="128" t="s">
        <v>270</v>
      </c>
      <c r="D18" s="128" t="s">
        <v>271</v>
      </c>
    </row>
    <row r="19" spans="2:4" s="154" customFormat="1" ht="36" customHeight="1">
      <c r="B19" s="127" t="s">
        <v>17</v>
      </c>
      <c r="C19" s="129" t="s">
        <v>272</v>
      </c>
      <c r="D19" s="129" t="s">
        <v>273</v>
      </c>
    </row>
    <row r="20" spans="2:4" s="154" customFormat="1" ht="36" customHeight="1">
      <c r="B20" s="127" t="s">
        <v>18</v>
      </c>
      <c r="C20" s="128" t="s">
        <v>274</v>
      </c>
      <c r="D20" s="128" t="s">
        <v>275</v>
      </c>
    </row>
    <row r="21" spans="2:4" s="154" customFormat="1" ht="36" customHeight="1">
      <c r="B21" s="127" t="s">
        <v>19</v>
      </c>
      <c r="C21" s="128" t="s">
        <v>276</v>
      </c>
      <c r="D21" s="129" t="s">
        <v>277</v>
      </c>
    </row>
    <row r="22" spans="2:4" s="154" customFormat="1" ht="36" customHeight="1">
      <c r="B22" s="127" t="s">
        <v>20</v>
      </c>
      <c r="C22" s="128" t="s">
        <v>278</v>
      </c>
      <c r="D22" s="129" t="s">
        <v>279</v>
      </c>
    </row>
    <row r="23" spans="2:4" s="154" customFormat="1" ht="36" customHeight="1">
      <c r="B23" s="127" t="s">
        <v>21</v>
      </c>
      <c r="C23" s="128" t="s">
        <v>280</v>
      </c>
      <c r="D23" s="129" t="s">
        <v>281</v>
      </c>
    </row>
    <row r="24" spans="2:4" s="154" customFormat="1" ht="36" customHeight="1">
      <c r="B24" s="127" t="s">
        <v>22</v>
      </c>
      <c r="C24" s="128" t="s">
        <v>282</v>
      </c>
      <c r="D24" s="129" t="s">
        <v>283</v>
      </c>
    </row>
    <row r="25" spans="2:4" s="154" customFormat="1" ht="36" customHeight="1">
      <c r="B25" s="127" t="s">
        <v>23</v>
      </c>
      <c r="C25" s="128" t="s">
        <v>284</v>
      </c>
      <c r="D25" s="129" t="s">
        <v>285</v>
      </c>
    </row>
    <row r="26" spans="2:4" s="154" customFormat="1" ht="36" customHeight="1">
      <c r="B26" s="127" t="s">
        <v>24</v>
      </c>
      <c r="C26" s="128" t="s">
        <v>286</v>
      </c>
      <c r="D26" s="129" t="s">
        <v>287</v>
      </c>
    </row>
    <row r="27" spans="2:4" s="154" customFormat="1" ht="36" customHeight="1">
      <c r="B27" s="127" t="s">
        <v>25</v>
      </c>
      <c r="C27" s="128" t="s">
        <v>288</v>
      </c>
      <c r="D27" s="128" t="s">
        <v>289</v>
      </c>
    </row>
    <row r="28" spans="2:4" s="154" customFormat="1" ht="36" customHeight="1">
      <c r="B28" s="127" t="s">
        <v>26</v>
      </c>
      <c r="C28" s="128" t="s">
        <v>290</v>
      </c>
      <c r="D28" s="128" t="s">
        <v>291</v>
      </c>
    </row>
    <row r="29" spans="2:4" s="154" customFormat="1" ht="36" customHeight="1">
      <c r="B29" s="127" t="s">
        <v>27</v>
      </c>
      <c r="C29" s="128" t="s">
        <v>292</v>
      </c>
      <c r="D29" s="128" t="s">
        <v>293</v>
      </c>
    </row>
    <row r="30" spans="2:4" s="154" customFormat="1" ht="36" customHeight="1">
      <c r="B30" s="127" t="s">
        <v>28</v>
      </c>
      <c r="C30" s="129" t="s">
        <v>294</v>
      </c>
      <c r="D30" s="128" t="s">
        <v>295</v>
      </c>
    </row>
    <row r="31" spans="2:4" s="154" customFormat="1" ht="36" customHeight="1">
      <c r="B31" s="127" t="s">
        <v>29</v>
      </c>
      <c r="C31" s="129" t="s">
        <v>296</v>
      </c>
      <c r="D31" s="129" t="s">
        <v>297</v>
      </c>
    </row>
    <row r="32" spans="2:4" s="154" customFormat="1" ht="36" customHeight="1">
      <c r="B32" s="127" t="s">
        <v>30</v>
      </c>
      <c r="C32" s="129" t="s">
        <v>298</v>
      </c>
      <c r="D32" s="129" t="s">
        <v>299</v>
      </c>
    </row>
    <row r="33" spans="2:4" s="154" customFormat="1" ht="36" customHeight="1">
      <c r="B33" s="127" t="s">
        <v>31</v>
      </c>
      <c r="C33" s="129" t="s">
        <v>298</v>
      </c>
      <c r="D33" s="129" t="s">
        <v>299</v>
      </c>
    </row>
    <row r="34" spans="2:4" s="154" customFormat="1" ht="36" customHeight="1">
      <c r="B34" s="127" t="s">
        <v>32</v>
      </c>
      <c r="C34" s="129" t="s">
        <v>298</v>
      </c>
      <c r="D34" s="129" t="s">
        <v>299</v>
      </c>
    </row>
    <row r="35" spans="2:4" s="154" customFormat="1" ht="36" customHeight="1">
      <c r="B35" s="127" t="s">
        <v>33</v>
      </c>
      <c r="C35" s="129" t="s">
        <v>298</v>
      </c>
      <c r="D35" s="129" t="s">
        <v>299</v>
      </c>
    </row>
    <row r="36" spans="2:4" s="154" customFormat="1" ht="36" customHeight="1">
      <c r="B36" s="127" t="s">
        <v>34</v>
      </c>
      <c r="C36" s="129" t="s">
        <v>300</v>
      </c>
      <c r="D36" s="129" t="s">
        <v>301</v>
      </c>
    </row>
    <row r="37" spans="2:4" s="154" customFormat="1" ht="36" customHeight="1">
      <c r="B37" s="127" t="s">
        <v>35</v>
      </c>
      <c r="C37" s="129" t="s">
        <v>300</v>
      </c>
      <c r="D37" s="129" t="s">
        <v>301</v>
      </c>
    </row>
    <row r="38" spans="2:4" s="154" customFormat="1" ht="36" customHeight="1">
      <c r="B38" s="127" t="s">
        <v>36</v>
      </c>
      <c r="C38" s="129" t="s">
        <v>300</v>
      </c>
      <c r="D38" s="129" t="s">
        <v>301</v>
      </c>
    </row>
    <row r="39" spans="2:4" s="154" customFormat="1" ht="36" customHeight="1">
      <c r="B39" s="127" t="s">
        <v>37</v>
      </c>
      <c r="C39" s="129" t="s">
        <v>300</v>
      </c>
      <c r="D39" s="129" t="s">
        <v>301</v>
      </c>
    </row>
    <row r="40" spans="2:4" s="154" customFormat="1" ht="36" customHeight="1">
      <c r="B40" s="127" t="s">
        <v>38</v>
      </c>
      <c r="C40" s="129" t="s">
        <v>302</v>
      </c>
      <c r="D40" s="129" t="s">
        <v>303</v>
      </c>
    </row>
    <row r="41" spans="2:4" s="154" customFormat="1" ht="36" customHeight="1">
      <c r="B41" s="127" t="s">
        <v>39</v>
      </c>
      <c r="C41" s="129" t="s">
        <v>304</v>
      </c>
      <c r="D41" s="129" t="s">
        <v>305</v>
      </c>
    </row>
    <row r="42" spans="2:4" s="154" customFormat="1" ht="36" customHeight="1">
      <c r="B42" s="127" t="s">
        <v>40</v>
      </c>
      <c r="C42" s="129" t="s">
        <v>304</v>
      </c>
      <c r="D42" s="129" t="s">
        <v>305</v>
      </c>
    </row>
    <row r="43" spans="2:4" s="154" customFormat="1" ht="36" customHeight="1">
      <c r="B43" s="127" t="s">
        <v>41</v>
      </c>
      <c r="C43" s="129" t="s">
        <v>304</v>
      </c>
      <c r="D43" s="129" t="s">
        <v>305</v>
      </c>
    </row>
    <row r="44" spans="2:4" s="154" customFormat="1" ht="36" customHeight="1">
      <c r="B44" s="127" t="s">
        <v>42</v>
      </c>
      <c r="C44" s="129" t="s">
        <v>304</v>
      </c>
      <c r="D44" s="129" t="s">
        <v>305</v>
      </c>
    </row>
    <row r="45" spans="2:4" s="154" customFormat="1" ht="36" customHeight="1">
      <c r="B45" s="127" t="s">
        <v>43</v>
      </c>
      <c r="C45" s="129" t="s">
        <v>306</v>
      </c>
      <c r="D45" s="129" t="s">
        <v>307</v>
      </c>
    </row>
    <row r="46" spans="2:4" s="154" customFormat="1" ht="36" customHeight="1">
      <c r="B46" s="127" t="s">
        <v>44</v>
      </c>
      <c r="C46" s="129" t="s">
        <v>306</v>
      </c>
      <c r="D46" s="129" t="s">
        <v>307</v>
      </c>
    </row>
    <row r="47" spans="2:4" s="154" customFormat="1" ht="36" customHeight="1">
      <c r="B47" s="127" t="s">
        <v>45</v>
      </c>
      <c r="C47" s="129" t="s">
        <v>306</v>
      </c>
      <c r="D47" s="129" t="s">
        <v>307</v>
      </c>
    </row>
    <row r="48" spans="2:4" s="154" customFormat="1" ht="36" customHeight="1">
      <c r="B48" s="127" t="s">
        <v>46</v>
      </c>
      <c r="C48" s="129" t="s">
        <v>306</v>
      </c>
      <c r="D48" s="129" t="s">
        <v>307</v>
      </c>
    </row>
    <row r="49" spans="2:4" s="154" customFormat="1" ht="36" customHeight="1">
      <c r="B49" s="127" t="s">
        <v>47</v>
      </c>
      <c r="C49" s="129" t="s">
        <v>308</v>
      </c>
      <c r="D49" s="129" t="s">
        <v>309</v>
      </c>
    </row>
    <row r="50" spans="2:4" s="154" customFormat="1" ht="36" customHeight="1">
      <c r="B50" s="127" t="s">
        <v>48</v>
      </c>
      <c r="C50" s="129" t="s">
        <v>308</v>
      </c>
      <c r="D50" s="129" t="s">
        <v>310</v>
      </c>
    </row>
    <row r="51" spans="2:4" s="154" customFormat="1" ht="36" customHeight="1">
      <c r="B51" s="127" t="s">
        <v>49</v>
      </c>
      <c r="C51" s="129" t="s">
        <v>308</v>
      </c>
      <c r="D51" s="129" t="s">
        <v>310</v>
      </c>
    </row>
    <row r="52" spans="2:4" s="154" customFormat="1" ht="36" customHeight="1">
      <c r="B52" s="127" t="s">
        <v>50</v>
      </c>
      <c r="C52" s="129" t="s">
        <v>308</v>
      </c>
      <c r="D52" s="129" t="s">
        <v>310</v>
      </c>
    </row>
    <row r="53" spans="2:4" s="154" customFormat="1" ht="36" customHeight="1">
      <c r="B53" s="127" t="s">
        <v>51</v>
      </c>
      <c r="C53" s="129" t="s">
        <v>308</v>
      </c>
      <c r="D53" s="129" t="s">
        <v>310</v>
      </c>
    </row>
    <row r="54" spans="2:4" s="154" customFormat="1" ht="36" customHeight="1">
      <c r="B54" s="127" t="s">
        <v>52</v>
      </c>
      <c r="C54" s="129" t="s">
        <v>311</v>
      </c>
      <c r="D54" s="129" t="s">
        <v>312</v>
      </c>
    </row>
    <row r="55" spans="2:4" s="154" customFormat="1" ht="36" customHeight="1">
      <c r="B55" s="127" t="s">
        <v>53</v>
      </c>
      <c r="C55" s="129" t="s">
        <v>311</v>
      </c>
      <c r="D55" s="129" t="s">
        <v>310</v>
      </c>
    </row>
    <row r="56" spans="2:4" s="154" customFormat="1" ht="36" customHeight="1">
      <c r="B56" s="127" t="s">
        <v>54</v>
      </c>
      <c r="C56" s="129" t="s">
        <v>311</v>
      </c>
      <c r="D56" s="129" t="s">
        <v>310</v>
      </c>
    </row>
    <row r="57" spans="2:4" s="154" customFormat="1" ht="36" customHeight="1">
      <c r="B57" s="127" t="s">
        <v>55</v>
      </c>
      <c r="C57" s="129" t="s">
        <v>311</v>
      </c>
      <c r="D57" s="129" t="s">
        <v>310</v>
      </c>
    </row>
    <row r="58" spans="2:4" s="154" customFormat="1" ht="36" customHeight="1">
      <c r="B58" s="127" t="s">
        <v>56</v>
      </c>
      <c r="C58" s="129" t="s">
        <v>311</v>
      </c>
      <c r="D58" s="129" t="s">
        <v>310</v>
      </c>
    </row>
    <row r="59" spans="2:4" s="154" customFormat="1" ht="36" customHeight="1">
      <c r="B59" s="127" t="s">
        <v>57</v>
      </c>
      <c r="C59" s="129" t="s">
        <v>313</v>
      </c>
      <c r="D59" s="129" t="s">
        <v>314</v>
      </c>
    </row>
    <row r="60" spans="2:4" s="154" customFormat="1" ht="36" customHeight="1">
      <c r="B60" s="127" t="s">
        <v>58</v>
      </c>
      <c r="C60" s="129" t="s">
        <v>315</v>
      </c>
      <c r="D60" s="129" t="s">
        <v>316</v>
      </c>
    </row>
    <row r="61" spans="2:4" s="154" customFormat="1" ht="36" customHeight="1">
      <c r="B61" s="127" t="s">
        <v>317</v>
      </c>
      <c r="C61" s="129" t="s">
        <v>318</v>
      </c>
      <c r="D61" s="129" t="s">
        <v>319</v>
      </c>
    </row>
    <row r="62" spans="2:4" s="154" customFormat="1" ht="36" customHeight="1">
      <c r="B62" s="127" t="s">
        <v>320</v>
      </c>
      <c r="C62" s="129" t="s">
        <v>321</v>
      </c>
      <c r="D62" s="129" t="s">
        <v>319</v>
      </c>
    </row>
    <row r="63" spans="2:4" s="154" customFormat="1" ht="36" customHeight="1">
      <c r="B63" s="127" t="s">
        <v>61</v>
      </c>
      <c r="C63" s="128" t="s">
        <v>322</v>
      </c>
      <c r="D63" s="128" t="s">
        <v>323</v>
      </c>
    </row>
    <row r="64" spans="2:4" ht="28.5">
      <c r="B64" s="127" t="s">
        <v>62</v>
      </c>
      <c r="C64" s="128" t="s">
        <v>324</v>
      </c>
      <c r="D64" s="128" t="s">
        <v>323</v>
      </c>
    </row>
    <row r="65" spans="2:4" ht="28.5">
      <c r="B65" s="127" t="s">
        <v>63</v>
      </c>
      <c r="C65" s="128" t="s">
        <v>325</v>
      </c>
      <c r="D65" s="128" t="s">
        <v>323</v>
      </c>
    </row>
    <row r="66" spans="2:4" ht="28.5">
      <c r="B66" s="127" t="s">
        <v>64</v>
      </c>
      <c r="C66" s="128" t="s">
        <v>326</v>
      </c>
      <c r="D66" s="128" t="s">
        <v>323</v>
      </c>
    </row>
    <row r="67" spans="2:4">
      <c r="B67" s="127" t="s">
        <v>65</v>
      </c>
      <c r="C67" s="128" t="s">
        <v>327</v>
      </c>
      <c r="D67" s="128" t="s">
        <v>328</v>
      </c>
    </row>
  </sheetData>
  <pageMargins left="0.7" right="0.7" top="0.75" bottom="0.75" header="0.3" footer="0.3"/>
</worksheet>
</file>

<file path=xl/worksheets/sheet5.xml><?xml version="1.0" encoding="utf-8"?>
<worksheet xmlns="http://schemas.openxmlformats.org/spreadsheetml/2006/main">
  <sheetPr codeName="Sheet3"/>
  <dimension ref="Z77"/>
  <sheetViews>
    <sheetView showGridLines="1" topLeftCell="G1" workbookViewId="0"/>
  </sheetViews>
  <sheetFormatPr defaultColWidth="9" defaultRowHeight="14.25"/>
  <cols>
    <col min="1" max="1" width="9" style="157"/>
    <col min="2" max="2" width="36.125" style="157" customWidth="1"/>
    <col min="3" max="3" width="9" style="157"/>
    <col min="4" max="4" width="28.5" style="157" customWidth="1"/>
    <col min="5" max="5" width="9" style="157"/>
    <col min="6" max="6" width="49.875" style="157" customWidth="1"/>
    <col min="7" max="7" width="9" style="157"/>
    <col min="8" max="8" width="24.125" style="157" customWidth="1"/>
    <col min="9" max="9" width="9" style="157"/>
    <col min="10" max="10" width="40.5" style="157" customWidth="1"/>
    <col min="11" max="11" width="9" style="157"/>
    <col min="12" max="12" width="74.375" style="157" customWidth="1"/>
    <col min="13" max="13" width="13.5" style="157" customWidth="1"/>
    <col min="14" max="14" width="36.5" style="157" customWidth="1"/>
    <col min="15" max="15" width="9" style="157"/>
    <col min="16" max="16" width="41.625" style="157" customWidth="1"/>
    <col min="17" max="17" width="9" style="157"/>
    <col min="18" max="18" width="40.125" style="157" customWidth="1"/>
    <col min="19" max="26" width="9" style="157"/>
  </cols>
  <sheetData>
    <row r="2" spans="2:18" ht="16.5">
      <c r="B2" s="130" t="s">
        <v>329</v>
      </c>
      <c r="D2" s="130" t="s">
        <v>330</v>
      </c>
      <c r="F2" s="131" t="s">
        <v>331</v>
      </c>
      <c r="H2" s="131" t="s">
        <v>332</v>
      </c>
      <c r="J2" s="131" t="s">
        <v>333</v>
      </c>
      <c r="L2" s="130" t="s">
        <v>334</v>
      </c>
      <c r="N2" s="130" t="s">
        <v>3</v>
      </c>
      <c r="P2" s="130" t="s">
        <v>335</v>
      </c>
      <c r="R2" s="130" t="s">
        <v>336</v>
      </c>
    </row>
    <row r="3" spans="2:18" ht="16.5">
      <c r="B3" s="132" t="s">
        <v>337</v>
      </c>
      <c r="D3" s="132" t="s">
        <v>338</v>
      </c>
      <c r="F3" s="133" t="s">
        <v>339</v>
      </c>
      <c r="H3" s="133" t="s">
        <v>340</v>
      </c>
      <c r="J3" s="133" t="s">
        <v>341</v>
      </c>
      <c r="L3" s="132" t="s">
        <v>342</v>
      </c>
      <c r="N3" s="132" t="s">
        <v>343</v>
      </c>
      <c r="P3" s="132" t="s">
        <v>344</v>
      </c>
      <c r="R3" s="132" t="s">
        <v>345</v>
      </c>
    </row>
    <row r="4" spans="2:18" ht="16.5">
      <c r="B4" s="134" t="s">
        <v>346</v>
      </c>
      <c r="D4" s="132" t="s">
        <v>347</v>
      </c>
      <c r="F4" s="135" t="s">
        <v>348</v>
      </c>
      <c r="H4" s="135" t="s">
        <v>349</v>
      </c>
      <c r="J4" s="133" t="s">
        <v>350</v>
      </c>
      <c r="L4" s="132" t="s">
        <v>351</v>
      </c>
      <c r="N4" s="132" t="s">
        <v>352</v>
      </c>
      <c r="P4" s="132" t="s">
        <v>353</v>
      </c>
      <c r="R4" s="132" t="s">
        <v>354</v>
      </c>
    </row>
    <row r="5" spans="4:18" ht="16.5">
      <c r="D5" s="132" t="s">
        <v>355</v>
      </c>
      <c r="J5" s="133" t="s">
        <v>129</v>
      </c>
      <c r="L5" s="132" t="s">
        <v>356</v>
      </c>
      <c r="N5" s="132" t="s">
        <v>357</v>
      </c>
      <c r="P5" s="132" t="s">
        <v>358</v>
      </c>
      <c r="R5" s="134" t="s">
        <v>359</v>
      </c>
    </row>
    <row r="6" spans="4:16" ht="16.5">
      <c r="D6" s="134" t="s">
        <v>360</v>
      </c>
      <c r="J6" s="133" t="s">
        <v>361</v>
      </c>
      <c r="L6" s="132" t="s">
        <v>362</v>
      </c>
      <c r="N6" s="132" t="s">
        <v>363</v>
      </c>
      <c r="P6" s="132" t="s">
        <v>364</v>
      </c>
    </row>
    <row r="7" spans="10:18" ht="16.5">
      <c r="J7" s="133" t="s">
        <v>135</v>
      </c>
      <c r="L7" s="132" t="s">
        <v>365</v>
      </c>
      <c r="N7" s="132" t="s">
        <v>366</v>
      </c>
      <c r="P7" s="132" t="s">
        <v>367</v>
      </c>
      <c r="R7" s="136" t="s">
        <v>65</v>
      </c>
    </row>
    <row r="8" spans="10:18" ht="16.5">
      <c r="J8" s="133" t="s">
        <v>368</v>
      </c>
      <c r="L8" s="132" t="s">
        <v>369</v>
      </c>
      <c r="N8" s="134" t="s">
        <v>370</v>
      </c>
      <c r="P8" s="132" t="s">
        <v>371</v>
      </c>
      <c r="R8" s="137" t="s">
        <v>372</v>
      </c>
    </row>
    <row r="9" spans="2:18" ht="16.5">
      <c r="B9" s="131" t="s">
        <v>373</v>
      </c>
      <c r="D9" s="138" t="s">
        <v>374</v>
      </c>
      <c r="F9" s="131" t="s">
        <v>375</v>
      </c>
      <c r="H9" s="131" t="s">
        <v>376</v>
      </c>
      <c r="J9" s="133" t="s">
        <v>377</v>
      </c>
      <c r="L9" s="134" t="s">
        <v>378</v>
      </c>
      <c r="P9" s="132" t="s">
        <v>379</v>
      </c>
      <c r="R9" s="137" t="s">
        <v>380</v>
      </c>
    </row>
    <row r="10" spans="2:18" ht="16.5">
      <c r="B10" s="133" t="s">
        <v>381</v>
      </c>
      <c r="D10" s="139" t="s">
        <v>382</v>
      </c>
      <c r="F10" s="133" t="s">
        <v>117</v>
      </c>
      <c r="H10" s="133" t="s">
        <v>383</v>
      </c>
      <c r="J10" s="133" t="s">
        <v>384</v>
      </c>
      <c r="N10" s="130" t="s">
        <v>385</v>
      </c>
      <c r="P10" s="132" t="s">
        <v>386</v>
      </c>
      <c r="R10" s="137" t="s">
        <v>387</v>
      </c>
    </row>
    <row r="11" spans="2:18" ht="16.5">
      <c r="B11" s="135" t="s">
        <v>388</v>
      </c>
      <c r="D11" s="139" t="s">
        <v>389</v>
      </c>
      <c r="F11" s="133" t="s">
        <v>126</v>
      </c>
      <c r="H11" s="133" t="s">
        <v>390</v>
      </c>
      <c r="J11" s="133" t="s">
        <v>391</v>
      </c>
      <c r="L11" s="130" t="s">
        <v>392</v>
      </c>
      <c r="N11" s="132" t="s">
        <v>144</v>
      </c>
      <c r="P11" s="132" t="s">
        <v>393</v>
      </c>
      <c r="R11" s="140" t="s">
        <v>394</v>
      </c>
    </row>
    <row r="12" spans="4:16" ht="16.5">
      <c r="D12" s="141" t="s">
        <v>395</v>
      </c>
      <c r="F12" s="133" t="s">
        <v>396</v>
      </c>
      <c r="H12" s="133" t="s">
        <v>397</v>
      </c>
      <c r="J12" s="133" t="s">
        <v>398</v>
      </c>
      <c r="L12" s="132" t="s">
        <v>399</v>
      </c>
      <c r="N12" s="132" t="s">
        <v>400</v>
      </c>
      <c r="P12" s="132" t="s">
        <v>401</v>
      </c>
    </row>
    <row r="13" spans="6:18" ht="16.5">
      <c r="F13" s="135" t="s">
        <v>402</v>
      </c>
      <c r="H13" s="133" t="s">
        <v>144</v>
      </c>
      <c r="J13" s="133" t="s">
        <v>403</v>
      </c>
      <c r="L13" s="132" t="s">
        <v>404</v>
      </c>
      <c r="N13" s="132" t="s">
        <v>405</v>
      </c>
      <c r="P13" s="132" t="s">
        <v>406</v>
      </c>
      <c r="R13" s="130" t="s">
        <v>23</v>
      </c>
    </row>
    <row r="14" spans="8:18" ht="16.5">
      <c r="H14" s="133" t="s">
        <v>407</v>
      </c>
      <c r="J14" s="133" t="s">
        <v>408</v>
      </c>
      <c r="L14" s="132" t="s">
        <v>409</v>
      </c>
      <c r="N14" s="132" t="s">
        <v>410</v>
      </c>
      <c r="P14" s="132" t="s">
        <v>411</v>
      </c>
      <c r="R14" s="132" t="s">
        <v>73</v>
      </c>
    </row>
    <row r="15" spans="8:18" ht="16.5">
      <c r="H15" s="133" t="s">
        <v>412</v>
      </c>
      <c r="J15" s="133" t="s">
        <v>413</v>
      </c>
      <c r="L15" s="132" t="s">
        <v>414</v>
      </c>
      <c r="N15" s="132" t="s">
        <v>415</v>
      </c>
      <c r="P15" s="132" t="s">
        <v>416</v>
      </c>
      <c r="R15" s="132" t="s">
        <v>417</v>
      </c>
    </row>
    <row r="16" spans="2:18" ht="16.5">
      <c r="B16" s="131" t="s">
        <v>418</v>
      </c>
      <c r="D16" s="131" t="s">
        <v>419</v>
      </c>
      <c r="F16" s="130" t="s">
        <v>420</v>
      </c>
      <c r="H16" s="133" t="s">
        <v>421</v>
      </c>
      <c r="J16" s="133" t="s">
        <v>422</v>
      </c>
      <c r="L16" s="132" t="s">
        <v>423</v>
      </c>
      <c r="N16" s="132" t="s">
        <v>424</v>
      </c>
      <c r="P16" s="132" t="s">
        <v>425</v>
      </c>
      <c r="R16" s="132" t="s">
        <v>426</v>
      </c>
    </row>
    <row r="17" spans="2:18" ht="16.5">
      <c r="B17" s="133" t="s">
        <v>427</v>
      </c>
      <c r="D17" s="133" t="s">
        <v>428</v>
      </c>
      <c r="F17" s="133" t="s">
        <v>429</v>
      </c>
      <c r="H17" s="133" t="s">
        <v>430</v>
      </c>
      <c r="J17" s="133" t="s">
        <v>431</v>
      </c>
      <c r="L17" s="132" t="s">
        <v>432</v>
      </c>
      <c r="N17" s="132" t="s">
        <v>433</v>
      </c>
      <c r="P17" s="132" t="s">
        <v>434</v>
      </c>
      <c r="R17" s="132" t="s">
        <v>435</v>
      </c>
    </row>
    <row r="18" spans="2:18" ht="16.5">
      <c r="B18" s="133" t="s">
        <v>436</v>
      </c>
      <c r="D18" s="133" t="s">
        <v>437</v>
      </c>
      <c r="F18" s="135" t="s">
        <v>438</v>
      </c>
      <c r="H18" s="135" t="s">
        <v>439</v>
      </c>
      <c r="J18" s="133" t="s">
        <v>440</v>
      </c>
      <c r="L18" s="132" t="s">
        <v>441</v>
      </c>
      <c r="N18" s="134" t="s">
        <v>408</v>
      </c>
      <c r="P18" s="132" t="s">
        <v>442</v>
      </c>
      <c r="R18" s="132" t="s">
        <v>443</v>
      </c>
    </row>
    <row r="19" spans="2:18" ht="16.5">
      <c r="B19" s="133" t="s">
        <v>444</v>
      </c>
      <c r="D19" s="133" t="s">
        <v>445</v>
      </c>
      <c r="J19" s="133" t="s">
        <v>446</v>
      </c>
      <c r="L19" s="134" t="s">
        <v>447</v>
      </c>
      <c r="P19" s="132" t="s">
        <v>448</v>
      </c>
      <c r="R19" s="132" t="s">
        <v>449</v>
      </c>
    </row>
    <row r="20" spans="2:18" ht="16.5">
      <c r="B20" s="133" t="s">
        <v>450</v>
      </c>
      <c r="D20" s="133" t="s">
        <v>451</v>
      </c>
      <c r="J20" s="133" t="s">
        <v>452</v>
      </c>
      <c r="N20" s="130" t="s">
        <v>453</v>
      </c>
      <c r="P20" s="132" t="s">
        <v>454</v>
      </c>
      <c r="R20" s="132" t="s">
        <v>455</v>
      </c>
    </row>
    <row r="21" spans="2:18" ht="16.5">
      <c r="B21" s="133" t="s">
        <v>456</v>
      </c>
      <c r="D21" s="135" t="s">
        <v>457</v>
      </c>
      <c r="H21" s="142" t="s">
        <v>458</v>
      </c>
      <c r="J21" s="133" t="s">
        <v>459</v>
      </c>
      <c r="L21" s="130" t="s">
        <v>460</v>
      </c>
      <c r="N21" s="132" t="s">
        <v>461</v>
      </c>
      <c r="P21" s="132" t="s">
        <v>462</v>
      </c>
      <c r="R21" s="132" t="s">
        <v>463</v>
      </c>
    </row>
    <row r="22" spans="2:18" ht="16.5">
      <c r="B22" s="133" t="s">
        <v>464</v>
      </c>
      <c r="H22" s="143" t="s">
        <v>68</v>
      </c>
      <c r="J22" s="133" t="s">
        <v>465</v>
      </c>
      <c r="L22" s="132" t="s">
        <v>466</v>
      </c>
      <c r="N22" s="132" t="s">
        <v>467</v>
      </c>
      <c r="P22" s="132" t="s">
        <v>468</v>
      </c>
      <c r="R22" s="132" t="s">
        <v>469</v>
      </c>
    </row>
    <row r="23" spans="2:18" ht="16.5">
      <c r="B23" s="133" t="s">
        <v>470</v>
      </c>
      <c r="H23" s="143" t="s">
        <v>104</v>
      </c>
      <c r="J23" s="133" t="s">
        <v>471</v>
      </c>
      <c r="L23" s="132" t="s">
        <v>472</v>
      </c>
      <c r="N23" s="132" t="s">
        <v>473</v>
      </c>
      <c r="P23" s="132" t="s">
        <v>474</v>
      </c>
      <c r="R23" s="132" t="s">
        <v>475</v>
      </c>
    </row>
    <row r="24" spans="2:18" ht="16.5">
      <c r="B24" s="133" t="s">
        <v>476</v>
      </c>
      <c r="H24" s="144" t="s">
        <v>477</v>
      </c>
      <c r="J24" s="133" t="s">
        <v>478</v>
      </c>
      <c r="L24" s="132" t="s">
        <v>479</v>
      </c>
      <c r="N24" s="132" t="s">
        <v>480</v>
      </c>
      <c r="P24" s="132" t="s">
        <v>481</v>
      </c>
      <c r="R24" s="132" t="s">
        <v>482</v>
      </c>
    </row>
    <row r="25" spans="2:18" ht="16.5">
      <c r="B25" s="133" t="s">
        <v>483</v>
      </c>
      <c r="J25" s="133" t="s">
        <v>484</v>
      </c>
      <c r="L25" s="132" t="s">
        <v>485</v>
      </c>
      <c r="N25" s="134" t="s">
        <v>486</v>
      </c>
      <c r="P25" s="132" t="s">
        <v>487</v>
      </c>
      <c r="R25" s="134" t="s">
        <v>488</v>
      </c>
    </row>
    <row r="26" spans="2:16" ht="16.5">
      <c r="B26" s="133" t="s">
        <v>489</v>
      </c>
      <c r="J26" s="133" t="s">
        <v>490</v>
      </c>
      <c r="L26" s="132" t="s">
        <v>491</v>
      </c>
      <c r="P26" s="132" t="s">
        <v>492</v>
      </c>
    </row>
    <row r="27" spans="2:16" ht="16.5">
      <c r="B27" s="133" t="s">
        <v>493</v>
      </c>
      <c r="J27" s="133" t="s">
        <v>494</v>
      </c>
      <c r="L27" s="132" t="s">
        <v>495</v>
      </c>
      <c r="N27" s="130" t="s">
        <v>496</v>
      </c>
      <c r="P27" s="132" t="s">
        <v>497</v>
      </c>
    </row>
    <row r="28" spans="2:16" ht="16.5">
      <c r="B28" s="135" t="s">
        <v>498</v>
      </c>
      <c r="J28" s="133" t="s">
        <v>499</v>
      </c>
      <c r="L28" s="132" t="s">
        <v>500</v>
      </c>
      <c r="N28" s="132" t="s">
        <v>501</v>
      </c>
      <c r="P28" s="132" t="s">
        <v>502</v>
      </c>
    </row>
    <row r="29" spans="10:16" ht="16.5">
      <c r="J29" s="133" t="s">
        <v>503</v>
      </c>
      <c r="L29" s="132" t="s">
        <v>504</v>
      </c>
      <c r="N29" s="132" t="s">
        <v>505</v>
      </c>
      <c r="P29" s="132" t="s">
        <v>506</v>
      </c>
    </row>
    <row r="30" spans="2:16" ht="16.5">
      <c r="B30" s="131" t="s">
        <v>507</v>
      </c>
      <c r="D30" s="131" t="s">
        <v>508</v>
      </c>
      <c r="F30" s="131" t="s">
        <v>509</v>
      </c>
      <c r="H30" s="131" t="s">
        <v>510</v>
      </c>
      <c r="J30" s="133" t="s">
        <v>511</v>
      </c>
      <c r="L30" s="132" t="s">
        <v>512</v>
      </c>
      <c r="N30" s="132" t="s">
        <v>513</v>
      </c>
      <c r="P30" s="132" t="s">
        <v>514</v>
      </c>
    </row>
    <row r="31" spans="2:16" ht="16.5">
      <c r="B31" s="132" t="s">
        <v>515</v>
      </c>
      <c r="D31" s="133" t="s">
        <v>483</v>
      </c>
      <c r="F31" s="133" t="s">
        <v>516</v>
      </c>
      <c r="H31" s="133" t="s">
        <v>517</v>
      </c>
      <c r="J31" s="135" t="s">
        <v>518</v>
      </c>
      <c r="L31" s="132" t="s">
        <v>519</v>
      </c>
      <c r="N31" s="132" t="s">
        <v>520</v>
      </c>
      <c r="P31" s="132" t="s">
        <v>521</v>
      </c>
    </row>
    <row r="32" spans="2:16" ht="16.5">
      <c r="B32" s="133" t="s">
        <v>522</v>
      </c>
      <c r="D32" s="133" t="s">
        <v>427</v>
      </c>
      <c r="F32" s="133" t="s">
        <v>523</v>
      </c>
      <c r="H32" s="133" t="s">
        <v>524</v>
      </c>
      <c r="L32" s="132" t="s">
        <v>525</v>
      </c>
      <c r="N32" s="132" t="s">
        <v>526</v>
      </c>
      <c r="P32" s="132" t="s">
        <v>527</v>
      </c>
    </row>
    <row r="33" spans="2:16" ht="16.5">
      <c r="B33" s="133" t="s">
        <v>528</v>
      </c>
      <c r="D33" s="133" t="s">
        <v>529</v>
      </c>
      <c r="F33" s="133" t="s">
        <v>530</v>
      </c>
      <c r="H33" s="133" t="s">
        <v>531</v>
      </c>
      <c r="J33" s="131" t="s">
        <v>532</v>
      </c>
      <c r="L33" s="132" t="s">
        <v>533</v>
      </c>
      <c r="N33" s="132" t="s">
        <v>534</v>
      </c>
      <c r="P33" s="132" t="s">
        <v>535</v>
      </c>
    </row>
    <row r="34" spans="2:16" ht="16.5">
      <c r="B34" s="133" t="s">
        <v>536</v>
      </c>
      <c r="D34" s="133" t="s">
        <v>450</v>
      </c>
      <c r="F34" s="135" t="s">
        <v>534</v>
      </c>
      <c r="H34" s="133" t="s">
        <v>537</v>
      </c>
      <c r="J34" s="145" t="s">
        <v>71</v>
      </c>
      <c r="L34" s="132" t="s">
        <v>538</v>
      </c>
      <c r="N34" s="134" t="s">
        <v>539</v>
      </c>
      <c r="P34" s="132" t="s">
        <v>540</v>
      </c>
    </row>
    <row r="35" spans="2:16" ht="16.5">
      <c r="B35" s="133" t="s">
        <v>541</v>
      </c>
      <c r="D35" s="133" t="s">
        <v>542</v>
      </c>
      <c r="H35" s="133" t="s">
        <v>543</v>
      </c>
      <c r="J35" s="145" t="s">
        <v>544</v>
      </c>
      <c r="L35" s="132" t="s">
        <v>545</v>
      </c>
      <c r="P35" s="132" t="s">
        <v>546</v>
      </c>
    </row>
    <row r="36" spans="2:16" ht="16.5">
      <c r="B36" s="132" t="s">
        <v>547</v>
      </c>
      <c r="D36" s="133" t="s">
        <v>548</v>
      </c>
      <c r="H36" s="133" t="s">
        <v>549</v>
      </c>
      <c r="J36" s="145" t="s">
        <v>550</v>
      </c>
      <c r="L36" s="132" t="s">
        <v>551</v>
      </c>
      <c r="P36" s="132" t="s">
        <v>552</v>
      </c>
    </row>
    <row r="37" spans="2:16" ht="16.5">
      <c r="B37" s="133" t="s">
        <v>553</v>
      </c>
      <c r="D37" s="133" t="s">
        <v>554</v>
      </c>
      <c r="H37" s="133" t="s">
        <v>555</v>
      </c>
      <c r="J37" s="133" t="s">
        <v>556</v>
      </c>
      <c r="L37" s="132" t="s">
        <v>557</v>
      </c>
      <c r="P37" s="132" t="s">
        <v>558</v>
      </c>
    </row>
    <row r="38" spans="2:16" ht="16.5">
      <c r="B38" s="133" t="s">
        <v>559</v>
      </c>
      <c r="D38" s="135" t="s">
        <v>560</v>
      </c>
      <c r="H38" s="133" t="s">
        <v>561</v>
      </c>
      <c r="J38" s="133" t="s">
        <v>562</v>
      </c>
      <c r="L38" s="132" t="s">
        <v>563</v>
      </c>
      <c r="P38" s="132" t="s">
        <v>564</v>
      </c>
    </row>
    <row r="39" spans="2:16" ht="16.5">
      <c r="B39" s="133" t="s">
        <v>565</v>
      </c>
      <c r="H39" s="135" t="s">
        <v>566</v>
      </c>
      <c r="J39" s="133" t="s">
        <v>567</v>
      </c>
      <c r="L39" s="132" t="s">
        <v>568</v>
      </c>
      <c r="P39" s="132" t="s">
        <v>569</v>
      </c>
    </row>
    <row r="40" spans="2:16" ht="16.5">
      <c r="B40" s="133" t="s">
        <v>570</v>
      </c>
      <c r="J40" s="133" t="s">
        <v>571</v>
      </c>
      <c r="L40" s="132" t="s">
        <v>572</v>
      </c>
      <c r="P40" s="132" t="s">
        <v>573</v>
      </c>
    </row>
    <row r="41" spans="2:16" ht="16.5">
      <c r="B41" s="133" t="s">
        <v>574</v>
      </c>
      <c r="J41" s="133" t="s">
        <v>575</v>
      </c>
      <c r="L41" s="132" t="s">
        <v>576</v>
      </c>
      <c r="P41" s="132" t="s">
        <v>577</v>
      </c>
    </row>
    <row r="42" spans="2:16" ht="16.5">
      <c r="B42" s="133" t="s">
        <v>578</v>
      </c>
      <c r="J42" s="133" t="s">
        <v>579</v>
      </c>
      <c r="L42" s="132" t="s">
        <v>580</v>
      </c>
      <c r="P42" s="132" t="s">
        <v>581</v>
      </c>
    </row>
    <row r="43" spans="2:16" ht="16.5">
      <c r="B43" s="133" t="s">
        <v>582</v>
      </c>
      <c r="J43" s="135" t="s">
        <v>583</v>
      </c>
      <c r="L43" s="132" t="s">
        <v>584</v>
      </c>
      <c r="P43" s="132" t="s">
        <v>585</v>
      </c>
    </row>
    <row r="44" spans="2:16">
      <c r="B44" s="134" t="s">
        <v>73</v>
      </c>
      <c r="L44" s="134" t="s">
        <v>586</v>
      </c>
      <c r="P44" s="132" t="s">
        <v>587</v>
      </c>
    </row>
    <row r="45" spans="16:16">
      <c r="P45" s="134" t="s">
        <v>588</v>
      </c>
    </row>
    <row r="46" spans="2:12" ht="16.5">
      <c r="B46" s="131" t="s">
        <v>589</v>
      </c>
      <c r="D46" s="131" t="s">
        <v>590</v>
      </c>
      <c r="F46" s="131" t="s">
        <v>591</v>
      </c>
      <c r="H46" s="131" t="s">
        <v>592</v>
      </c>
      <c r="L46" s="130" t="s">
        <v>593</v>
      </c>
    </row>
    <row r="47" spans="2:12" ht="16.5">
      <c r="B47" s="133" t="s">
        <v>594</v>
      </c>
      <c r="D47" s="133" t="s">
        <v>461</v>
      </c>
      <c r="F47" s="133" t="s">
        <v>595</v>
      </c>
      <c r="H47" s="133" t="s">
        <v>596</v>
      </c>
      <c r="L47" s="146" t="s">
        <v>597</v>
      </c>
    </row>
    <row r="48" spans="2:12" ht="16.5">
      <c r="B48" s="133" t="s">
        <v>598</v>
      </c>
      <c r="D48" s="133" t="s">
        <v>467</v>
      </c>
      <c r="F48" s="133" t="s">
        <v>599</v>
      </c>
      <c r="H48" s="135" t="s">
        <v>600</v>
      </c>
      <c r="L48" s="132" t="s">
        <v>601</v>
      </c>
    </row>
    <row r="49" spans="2:12" ht="16.5">
      <c r="B49" s="133" t="s">
        <v>602</v>
      </c>
      <c r="D49" s="133" t="s">
        <v>473</v>
      </c>
      <c r="F49" s="135" t="s">
        <v>603</v>
      </c>
      <c r="L49" s="132" t="s">
        <v>604</v>
      </c>
    </row>
    <row r="50" spans="2:12" ht="16.5">
      <c r="B50" s="135" t="s">
        <v>605</v>
      </c>
      <c r="D50" s="133" t="s">
        <v>480</v>
      </c>
      <c r="L50" s="132" t="s">
        <v>606</v>
      </c>
    </row>
    <row r="51" spans="4:12" ht="16.5">
      <c r="D51" s="135" t="s">
        <v>486</v>
      </c>
      <c r="L51" s="132" t="s">
        <v>607</v>
      </c>
    </row>
    <row r="52" spans="12:12">
      <c r="L52" s="134" t="s">
        <v>608</v>
      </c>
    </row>
    <row r="53" spans="2:8" ht="16.5">
      <c r="B53" s="131" t="s">
        <v>609</v>
      </c>
      <c r="D53" s="131" t="s">
        <v>610</v>
      </c>
      <c r="F53" s="131" t="s">
        <v>611</v>
      </c>
      <c r="H53" s="131" t="s">
        <v>11</v>
      </c>
    </row>
    <row r="54" spans="2:12" ht="16.5">
      <c r="B54" s="133" t="s">
        <v>612</v>
      </c>
      <c r="D54" s="133" t="s">
        <v>613</v>
      </c>
      <c r="F54" s="133" t="s">
        <v>614</v>
      </c>
      <c r="H54" s="132" t="s">
        <v>72</v>
      </c>
      <c r="L54" s="130" t="s">
        <v>615</v>
      </c>
    </row>
    <row r="55" spans="2:12" ht="16.5">
      <c r="B55" s="133" t="s">
        <v>616</v>
      </c>
      <c r="D55" s="133" t="s">
        <v>617</v>
      </c>
      <c r="F55" s="135" t="s">
        <v>534</v>
      </c>
      <c r="H55" s="132" t="s">
        <v>98</v>
      </c>
      <c r="L55" s="147" t="s">
        <v>618</v>
      </c>
    </row>
    <row r="56" spans="2:12" ht="16.5">
      <c r="B56" s="135" t="s">
        <v>619</v>
      </c>
      <c r="D56" s="133" t="s">
        <v>620</v>
      </c>
      <c r="H56" s="132" t="s">
        <v>104</v>
      </c>
      <c r="L56" s="147" t="s">
        <v>621</v>
      </c>
    </row>
    <row r="57" spans="4:12" ht="16.5">
      <c r="D57" s="133" t="s">
        <v>622</v>
      </c>
      <c r="H57" s="134" t="s">
        <v>139</v>
      </c>
      <c r="L57" s="147" t="s">
        <v>623</v>
      </c>
    </row>
    <row r="58" spans="4:12" ht="16.5">
      <c r="D58" s="135" t="s">
        <v>624</v>
      </c>
      <c r="L58" s="147" t="s">
        <v>625</v>
      </c>
    </row>
    <row r="59" spans="12:12">
      <c r="L59" s="147" t="s">
        <v>626</v>
      </c>
    </row>
    <row r="60" spans="12:12">
      <c r="L60" s="147" t="s">
        <v>627</v>
      </c>
    </row>
    <row r="61" spans="12:12">
      <c r="L61" s="147" t="s">
        <v>628</v>
      </c>
    </row>
    <row r="62" spans="12:12">
      <c r="L62" s="147" t="s">
        <v>629</v>
      </c>
    </row>
    <row r="63" spans="12:12">
      <c r="L63" s="147" t="s">
        <v>630</v>
      </c>
    </row>
    <row r="64" spans="12:12">
      <c r="L64" s="147" t="s">
        <v>631</v>
      </c>
    </row>
    <row r="65" spans="12:12">
      <c r="L65" s="147" t="s">
        <v>632</v>
      </c>
    </row>
    <row r="66" spans="12:12">
      <c r="L66" s="147" t="s">
        <v>633</v>
      </c>
    </row>
    <row r="67" spans="12:12">
      <c r="L67" s="147" t="s">
        <v>634</v>
      </c>
    </row>
    <row r="68" spans="12:12">
      <c r="L68" s="147" t="s">
        <v>635</v>
      </c>
    </row>
    <row r="69" spans="12:12">
      <c r="L69" s="147" t="s">
        <v>636</v>
      </c>
    </row>
    <row r="70" spans="12:12">
      <c r="L70" s="147" t="s">
        <v>631</v>
      </c>
    </row>
    <row r="71" spans="12:12">
      <c r="L71" s="147" t="s">
        <v>637</v>
      </c>
    </row>
    <row r="72" spans="12:12">
      <c r="L72" s="147" t="s">
        <v>638</v>
      </c>
    </row>
    <row r="73" spans="12:12">
      <c r="L73" s="147" t="s">
        <v>639</v>
      </c>
    </row>
    <row r="74" spans="12:12">
      <c r="L74" s="147" t="s">
        <v>640</v>
      </c>
    </row>
    <row r="75" spans="12:12" ht="28.5">
      <c r="L75" s="147" t="s">
        <v>641</v>
      </c>
    </row>
    <row r="76" spans="12:12" ht="28.5">
      <c r="L76" s="147" t="s">
        <v>642</v>
      </c>
    </row>
    <row r="77" spans="12:12" ht="28.5">
      <c r="L77" s="148" t="s">
        <v>643</v>
      </c>
    </row>
  </sheetData>
  <pageMargins left="0.7" right="0.7" top="0.75" bottom="0.75" header="0.3" footer="0.3"/>
  <pageSetup paperSize="9" orientation="portrai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2026-02-09T10:09:36Z</dcterms:created>
  <dcterms:modified xsi:type="dcterms:W3CDTF">2026-02-09T10:09:36Z</dcterms:modified>
</cp:coreProperties>
</file>